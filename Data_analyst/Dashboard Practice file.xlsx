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https://d.docs.live.net/AF18AF164D069DFB/Documents/"/>
    </mc:Choice>
  </mc:AlternateContent>
  <xr:revisionPtr revIDLastSave="548" documentId="8_{57246CE2-88FB-4785-A8FA-705752E4231C}" xr6:coauthVersionLast="47" xr6:coauthVersionMax="47" xr10:uidLastSave="{1B2B2A50-242A-4E68-A292-6A54A342A4B9}"/>
  <bookViews>
    <workbookView xWindow="-108" yWindow="-108" windowWidth="23256" windowHeight="12456" xr2:uid="{C0893FBD-34B3-420E-B0D6-EC330180DDEA}"/>
  </bookViews>
  <sheets>
    <sheet name="Dashboard" sheetId="6" r:id="rId1"/>
    <sheet name="SalesData" sheetId="3" r:id="rId2"/>
    <sheet name="Pivot_table" sheetId="5" r:id="rId3"/>
  </sheets>
  <definedNames>
    <definedName name="Slicer_Product">#N/A</definedName>
    <definedName name="Slicer_Region">#N/A</definedName>
    <definedName name="Slicer_Sales_Pers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3" l="1"/>
  <c r="K6" i="3"/>
  <c r="K4" i="3"/>
  <c r="K2" i="3"/>
  <c r="H3" i="3"/>
  <c r="H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G3" i="3"/>
  <c r="F3" i="3"/>
  <c r="G2" i="3"/>
  <c r="F2"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<sst xmlns="http://schemas.openxmlformats.org/spreadsheetml/2006/main" count="203" uniqueCount="37">
  <si>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</si>
  <si>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</si>
  <si>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</si>
  <si>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</si>
  <si>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</si>
  <si>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</si>
  <si>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</si>
  <si>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</si>
  <si>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</si>
  <si>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</si>
  <si>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</si>
  <si>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</si>
  <si>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</si>
  <si>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</si>
  <si>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</si>
  <si>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</si>
  <si>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</si>
  <si>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</si>
  <si>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</si>
  <si>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</si>
  <si>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</si>
  <si>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</si>
  <si>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</si>
  <si>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</si>
  <si>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</si>
  <si>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</si>
  <si>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</si>
  <si>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</si>
  <si>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</si>
  <si>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</si>
  <si>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</si>
  <si>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</si>
  <si>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</si>
  <si>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Sales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</si>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</sst>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Rs.&quot;\ * #,##0_ ;_ &quot;Rs.&quot;\ * \-#,##0_ ;_ &quot;Rs.&quot;\ * &quot;-&quot;_ ;_ @_ "/>
    <numFmt numFmtId="165" formatCode="&quot;Rs. &quot;##\.##,&quot;L&quot;"/>
  </numFmts>
  <fonts count="5" x14ac:knownFonts="1">
    <font>
      <sz val="11"/>
      <color theme="1"/>
      <name val="Aptos Narrow"/>
      <family val="2"/>
      <scheme val="minor"/>
    </font>
    <font>
      <sz val="11"/>
      <color theme="1"/>
      <name val="Aptos Narrow"/>
      <family val="2"/>
      <scheme val="minor"/>
    </font>
    <font>
      <sz val="11"/>
      <color theme="0"/>
      <name val="Aptos Narrow"/>
      <family val="2"/>
      <scheme val="minor"/>
    </font>
    <font>
      <b/>
      <sz val="11"/>
      <color theme="1"/>
      <name val="Aptos Narrow"/>
      <family val="2"/>
      <scheme val="minor"/>
    </font>
    <font>
      <i/>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0" fillId="0" borderId="0" xfId="0" pivotButton="1"/>
    <xf numFmtId="0" fontId="0" fillId="0" borderId="0" xfId="0" applyNumberFormat="1"/>
    <xf numFmtId="165" fontId="0" fillId="0" borderId="0" xfId="0" applyNumberFormat="1"/>
    <xf numFmtId="165" fontId="4" fillId="0" borderId="0" xfId="0" applyNumberFormat="1" applyFont="1"/>
    <xf numFmtId="0" fontId="3" fillId="0" borderId="0" xfId="0" applyFont="1"/>
  </cellXfs>
  <cellStyles count="2">
    <cellStyle name="Currency [0]" xfId="1" builtinId="7"/>
    <cellStyle name="Normal" xfId="0" builtinId="0"/>
  </cellStyles>
  <dxfs count="64">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font>
        <i/>
      </font>
    </dxf>
    <dxf>
      <numFmt numFmtId="165" formatCode="&quot;Rs. &quot;##\.##,&quot;L&quot;"/>
    </dxf>
    <dxf>
      <numFmt numFmtId="165" formatCode="&quot;Rs. &quot;##\.##,&quot;L&quot;"/>
    </dxf>
    <dxf>
      <font>
        <i/>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file.xlsx]Pivot_table!PivotTable4</c:name>
    <c:fmtId val="5"/>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layout>
            <c:manualLayout>
              <c:x val="-4.3999999999999997E-2"/>
              <c:y val="-4.6296296296297144E-3"/>
            </c:manualLayout>
          </c:layout>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layout>
            <c:manualLayout>
              <c:x val="-4.3999999999999997E-2"/>
              <c:y val="-4.6296296296297144E-3"/>
            </c:manualLayout>
          </c:layout>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pivotFmt>
    </c:pivotFmts>
    <c:plotArea>
      <c:layout>
        <c:manualLayout>
          <c:layoutTarget val="inner"/>
          <c:xMode val="edge"/>
          <c:yMode val="edge"/>
          <c:x val="6.1012954826393198E-2"/>
          <c:y val="0.12572914445129718"/>
          <c:w val="0.93888888888888888"/>
          <c:h val="0.79118875765529306"/>
        </c:manualLayout>
      </c:layout>
      <c:lineChart>
        <c:grouping val="standard"/>
        <c:varyColors val="0"/>
        <c:ser>
          <c:idx val="0"/>
          <c:order val="0"/>
          <c:tx>
            <c:strRef>
              <c:f>Pivot_table!$M$3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s>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Pivot_table!$L$4:$L$11</c:f>
              <c:strCache>
                <c:ptCount val="7"/>
                <c:pt idx="0">
                  <c:v>Action Figure</c:v>
                </c:pt>
                <c:pt idx="1">
                  <c:v>Blender</c:v>
                </c:pt>
                <c:pt idx="2">
                  <c:v>Moisturizer</c:v>
                </c:pt>
                <c:pt idx="3">
                  <c:v>Novel</c:v>
                </c:pt>
                <c:pt idx="4">
                  <c:v>Smartphone</c:v>
                </c:pt>
                <c:pt idx="5">
                  <c:v>Sneakers</c:v>
                </c:pt>
                <c:pt idx="6">
                  <c:v>Tent</c:v>
                </c:pt>
              </c:strCache>
            </c:strRef>
          </c:cat>
          <c:val>
            <c:numRef>
              <c:f>Pivot_table!$M$4:$M$11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1-4410-43CD-8A8A-0776A8248441}"/>
            </c:ext>
          </c:extLst>
        </c:ser>
        <c:dLbls>
          <c:dLblPos val="ctr"/>
          <c:showLegendKey val="0"/>
          <c:showVal val="1"/>
          <c:showCatName val="0"/>
          <c:showSerName val="0"/>
          <c:showPercent val="0"/>
          <c:showBubbleSize val="0"/>
        </c:dLbls>
        <c:dropLines>
          <c:spPr>
            <a:ln w="19050" cap="flat" cmpd="sng" algn="ctr">
              <a:solidFill>
                <a:srgbClr val="549E39"/>
              </a:solidFill>
              <a:round/>
            </a:ln>
            <a:effectLst/>
          </c:spPr>
        </c:dropLines>
        <c:marker val="1"/>
        <c:smooth val="0"/>
        <c:axId val="267842336"/>
        <c:axId val="267846176"/>
      </c:lineChart>
      <c:catAx>
        <c:axId val="267842336"/>
        <c:scaling>
          <c:orientation val="minMax"/>
        </c:scaling>
        <c:delete val="0"/>
        <c:axPos val="b"/>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1" i="0" u="none" strike="noStrike" kern="1200" spc="30" baseline="0">
                <a:solidFill>
                  <a:schemeClr val="accent1"/>
                </a:solidFill>
                <a:latin typeface="+mn-lt"/>
                <a:ea typeface="+mn-ea"/>
                <a:cs typeface="+mn-cs"/>
              </a:defRPr>
            </a:pPr>
            <a:endParaRPr lang="en-US"/>
          </a:p>
        </c:txPr>
        <c:crossAx val="267846176"/>
        <c:crosses val="autoZero"/>
        <c:auto val="1"/>
        <c:lblAlgn val="ctr"/>
        <c:lblOffset val="100"/>
        <c:noMultiLvlLbl val="0"/>
      </c:catAx>
      <c:valAx>
        <c:axId val="267846176"/>
        <c:scaling>
          <c:orientation val="minMax"/>
        </c:scaling>
        <c:delete val="1"/>
        <c:axPos val="l"/>
        <c:numFmt formatCode="General" sourceLinked="1"/>
        <c:majorTickMark val="out"/>
        <c:minorTickMark val="none"/>
        <c:tickLblPos val="nextTo"/>
        <c:crossAx val="26784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36383158744669"/>
              <c:y val="-6.3131313131313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121229474439715"/>
              <c:y val="7.99663299663299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787905685381559"/>
              <c:y val="2.52525252525252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212137263856739"/>
              <c:y val="-6.7340067340067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36383158744669"/>
              <c:y val="-6.3131313131313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121229474439715"/>
              <c:y val="7.99663299663299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8787905685381559"/>
              <c:y val="2.52525252525252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212137263856739"/>
              <c:y val="-6.7340067340067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636383158744669"/>
              <c:y val="-6.3131313131313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121229474439715"/>
              <c:y val="7.99663299663299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8787905685381559"/>
              <c:y val="2.52525252525252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212137263856739"/>
              <c:y val="-6.7340067340067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86821694328362"/>
          <c:y val="0.20965461703650681"/>
          <c:w val="0.41147353455818025"/>
          <c:h val="0.68578922426363376"/>
        </c:manualLayout>
      </c:layout>
      <c:doughnutChart>
        <c:varyColors val="1"/>
        <c:ser>
          <c:idx val="0"/>
          <c:order val="0"/>
          <c:tx>
            <c:strRef>
              <c:f>Pivot_table!$B$3</c:f>
              <c:strCache>
                <c:ptCount val="1"/>
                <c:pt idx="0">
                  <c:v>Total</c:v>
                </c:pt>
              </c:strCache>
            </c:strRef>
          </c:tx>
          <c:explosion val="1"/>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44AA-49AD-A83A-BA0FE6A4F3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AA-49AD-A83A-BA0FE6A4F3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AA-49AD-A83A-BA0FE6A4F3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AA-49AD-A83A-BA0FE6A4F36B}"/>
              </c:ext>
            </c:extLst>
          </c:dPt>
          <c:dLbls>
            <c:dLbl>
              <c:idx val="0"/>
              <c:layout>
                <c:manualLayout>
                  <c:x val="0.13636383158744669"/>
                  <c:y val="-6.3131313131313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AA-49AD-A83A-BA0FE6A4F36B}"/>
                </c:ext>
              </c:extLst>
            </c:dLbl>
            <c:dLbl>
              <c:idx val="1"/>
              <c:layout>
                <c:manualLayout>
                  <c:x val="0.12121229474439715"/>
                  <c:y val="7.9966329966329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AA-49AD-A83A-BA0FE6A4F36B}"/>
                </c:ext>
              </c:extLst>
            </c:dLbl>
            <c:dLbl>
              <c:idx val="2"/>
              <c:layout>
                <c:manualLayout>
                  <c:x val="-0.18787905685381559"/>
                  <c:y val="2.5252525252525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AA-49AD-A83A-BA0FE6A4F36B}"/>
                </c:ext>
              </c:extLst>
            </c:dLbl>
            <c:dLbl>
              <c:idx val="3"/>
              <c:layout>
                <c:manualLayout>
                  <c:x val="-0.11212137263856739"/>
                  <c:y val="-6.7340067340067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AA-49AD-A83A-BA0FE6A4F3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Pivot_table!$A$4:$A$8</c:f>
              <c:strCache>
                <c:ptCount val="4"/>
                <c:pt idx="0">
                  <c:v>East</c:v>
                </c:pt>
                <c:pt idx="1">
                  <c:v>North</c:v>
                </c:pt>
                <c:pt idx="2">
                  <c:v>South</c:v>
                </c:pt>
                <c:pt idx="3">
                  <c:v>West</c:v>
                </c:pt>
              </c:strCache>
            </c:strRef>
          </c:cat>
          <c:val>
            <c:numRef>
              <c:f>Pivot_table!$B$4:$B$8</c:f>
              <c:numCache>
                <c:formatCode>"Rs. "##\.##,"L"</c:formatCode>
                <c:ptCount val="4"/>
                <c:pt idx="0">
                  <c:v>3534400</c:v>
                </c:pt>
                <c:pt idx="1">
                  <c:v>2661400</c:v>
                </c:pt>
                <c:pt idx="2">
                  <c:v>2870600</c:v>
                </c:pt>
                <c:pt idx="3">
                  <c:v>3878100</c:v>
                </c:pt>
              </c:numCache>
            </c:numRef>
          </c:val>
          <c:extLst>
            <c:ext xmlns:c16="http://schemas.microsoft.com/office/drawing/2014/chart" uri="{C3380CC4-5D6E-409C-BE32-E72D297353CC}">
              <c16:uniqueId val="{00000008-44AA-49AD-A83A-BA0FE6A4F36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Pivot_table!$D$4:$D$11</c:f>
              <c:strCache>
                <c:ptCount val="7"/>
                <c:pt idx="0">
                  <c:v>Action Figure</c:v>
                </c:pt>
                <c:pt idx="1">
                  <c:v>Blender</c:v>
                </c:pt>
                <c:pt idx="2">
                  <c:v>Moisturizer</c:v>
                </c:pt>
                <c:pt idx="3">
                  <c:v>Novel</c:v>
                </c:pt>
                <c:pt idx="4">
                  <c:v>Smartphone</c:v>
                </c:pt>
                <c:pt idx="5">
                  <c:v>Sneakers</c:v>
                </c:pt>
                <c:pt idx="6">
                  <c:v>Tent</c:v>
                </c:pt>
              </c:strCache>
            </c:strRef>
          </c:cat>
          <c:val>
            <c:numRef>
              <c:f>Pivot_table!$E$4:$E$11</c:f>
              <c:numCache>
                <c:formatCode>"Rs.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AB90-4997-B679-B9F1829ED041}"/>
            </c:ext>
          </c:extLst>
        </c:ser>
        <c:dLbls>
          <c:dLblPos val="outEnd"/>
          <c:showLegendKey val="0"/>
          <c:showVal val="1"/>
          <c:showCatName val="0"/>
          <c:showSerName val="0"/>
          <c:showPercent val="0"/>
          <c:showBubbleSize val="0"/>
        </c:dLbls>
        <c:gapWidth val="52"/>
        <c:axId val="57559520"/>
        <c:axId val="57557600"/>
      </c:barChart>
      <c:catAx>
        <c:axId val="5755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7600"/>
        <c:crosses val="autoZero"/>
        <c:auto val="1"/>
        <c:lblAlgn val="ctr"/>
        <c:lblOffset val="100"/>
        <c:noMultiLvlLbl val="0"/>
      </c:catAx>
      <c:valAx>
        <c:axId val="57557600"/>
        <c:scaling>
          <c:orientation val="minMax"/>
        </c:scaling>
        <c:delete val="1"/>
        <c:axPos val="b"/>
        <c:numFmt formatCode="&quot;Rs. &quot;##\.##,&quot;L&quot;" sourceLinked="1"/>
        <c:majorTickMark val="out"/>
        <c:minorTickMark val="none"/>
        <c:tickLblPos val="nextTo"/>
        <c:crossAx val="5755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38176339388291E-2"/>
          <c:y val="4.5550994876768419E-2"/>
          <c:w val="0.94672364732122338"/>
          <c:h val="0.84458789620398811"/>
        </c:manualLayout>
      </c:layout>
      <c:barChart>
        <c:barDir val="col"/>
        <c:grouping val="clustered"/>
        <c:varyColors val="0"/>
        <c:ser>
          <c:idx val="0"/>
          <c:order val="0"/>
          <c:tx>
            <c:strRef>
              <c:f>Pivot_table!$I$3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Pivot_table!$I$4:$I$14</c:f>
              <c:numCache>
                <c:formatCode>"Rs.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5AB1-496F-ABA5-B512854882F8}"/>
            </c:ext>
          </c:extLst>
        </c:ser>
        <c:dLbls>
          <c:showLegendKey val="0"/>
          <c:showVal val="0"/>
          <c:showCatName val="0"/>
          <c:showSerName val="0"/>
          <c:showPercent val="0"/>
          <c:showBubbleSize val="0"/>
        </c:dLbls>
        <c:gapWidth val="80"/>
        <c:overlap val="-27"/>
        <c:axId val="1726063984"/>
        <c:axId val="1726064944"/>
      </c:barChart>
      <c:catAx>
        <c:axId val="172606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64944"/>
        <c:crosses val="autoZero"/>
        <c:auto val="1"/>
        <c:lblAlgn val="ctr"/>
        <c:lblOffset val="100"/>
        <c:noMultiLvlLbl val="0"/>
      </c:catAx>
      <c:valAx>
        <c:axId val="1726064944"/>
        <c:scaling>
          <c:orientation val="minMax"/>
        </c:scaling>
        <c:delete val="1"/>
        <c:axPos val="l"/>
        <c:numFmt formatCode="&quot;Rs. &quot;##\.##,&quot;L&quot;" sourceLinked="1"/>
        <c:majorTickMark val="none"/>
        <c:minorTickMark val="none"/>
        <c:tickLblPos val="nextTo"/>
        <c:crossAx val="172606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36383158744669"/>
              <c:y val="-6.31313131313131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121229474439715"/>
              <c:y val="7.99663299663299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8787905685381559"/>
              <c:y val="2.52525252525252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212137263856739"/>
              <c:y val="-6.73400673400673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286821694328362"/>
          <c:y val="0.20965461703650681"/>
          <c:w val="0.41147353455818025"/>
          <c:h val="0.68578922426363376"/>
        </c:manualLayout>
      </c:layout>
      <c:doughnutChart>
        <c:varyColors val="1"/>
        <c:ser>
          <c:idx val="0"/>
          <c:order val="0"/>
          <c:tx>
            <c:strRef>
              <c:f>Pivot_table!$B$3</c:f>
              <c:strCache>
                <c:ptCount val="1"/>
                <c:pt idx="0">
                  <c:v>Total</c:v>
                </c:pt>
              </c:strCache>
            </c:strRef>
          </c:tx>
          <c:explosion val="1"/>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2-6E5E-4739-8A5D-ACDD1CA510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5E-4739-8A5D-ACDD1CA510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E5E-4739-8A5D-ACDD1CA510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E5E-4739-8A5D-ACDD1CA510D0}"/>
              </c:ext>
            </c:extLst>
          </c:dPt>
          <c:dLbls>
            <c:dLbl>
              <c:idx val="0"/>
              <c:layout>
                <c:manualLayout>
                  <c:x val="0.13636383158744669"/>
                  <c:y val="-6.3131313131313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5E-4739-8A5D-ACDD1CA510D0}"/>
                </c:ext>
              </c:extLst>
            </c:dLbl>
            <c:dLbl>
              <c:idx val="1"/>
              <c:layout>
                <c:manualLayout>
                  <c:x val="0.12121229474439715"/>
                  <c:y val="7.9966329966329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5E-4739-8A5D-ACDD1CA510D0}"/>
                </c:ext>
              </c:extLst>
            </c:dLbl>
            <c:dLbl>
              <c:idx val="2"/>
              <c:layout>
                <c:manualLayout>
                  <c:x val="-0.18787905685381559"/>
                  <c:y val="2.5252525252525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5E-4739-8A5D-ACDD1CA510D0}"/>
                </c:ext>
              </c:extLst>
            </c:dLbl>
            <c:dLbl>
              <c:idx val="3"/>
              <c:layout>
                <c:manualLayout>
                  <c:x val="-0.11212137263856739"/>
                  <c:y val="-6.73400673400673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5E-4739-8A5D-ACDD1CA510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Pivot_table!$A$4:$A$8</c:f>
              <c:strCache>
                <c:ptCount val="4"/>
                <c:pt idx="0">
                  <c:v>East</c:v>
                </c:pt>
                <c:pt idx="1">
                  <c:v>North</c:v>
                </c:pt>
                <c:pt idx="2">
                  <c:v>South</c:v>
                </c:pt>
                <c:pt idx="3">
                  <c:v>West</c:v>
                </c:pt>
              </c:strCache>
            </c:strRef>
          </c:cat>
          <c:val>
            <c:numRef>
              <c:f>Pivot_table!$B$4:$B$8</c:f>
              <c:numCache>
                <c:formatCode>"Rs. "##\.##,"L"</c:formatCode>
                <c:ptCount val="4"/>
                <c:pt idx="0">
                  <c:v>3534400</c:v>
                </c:pt>
                <c:pt idx="1">
                  <c:v>2661400</c:v>
                </c:pt>
                <c:pt idx="2">
                  <c:v>2870600</c:v>
                </c:pt>
                <c:pt idx="3">
                  <c:v>3878100</c:v>
                </c:pt>
              </c:numCache>
            </c:numRef>
          </c:val>
          <c:extLst>
            <c:ext xmlns:c16="http://schemas.microsoft.com/office/drawing/2014/chart" uri="{C3380CC4-5D6E-409C-BE32-E72D297353CC}">
              <c16:uniqueId val="{00000000-6E5E-4739-8A5D-ACDD1CA510D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bar"/>
        <c:grouping val="clustered"/>
        <c:varyColors val="0"/>
        <c:ser>
          <c:idx val="0"/>
          <c:order val="0"/>
          <c:tx>
            <c:strRef>
              <c:f>Pivot_table!$E$3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Pivot_table!$D$4:$D$11</c:f>
              <c:strCache>
                <c:ptCount val="7"/>
                <c:pt idx="0">
                  <c:v>Action Figure</c:v>
                </c:pt>
                <c:pt idx="1">
                  <c:v>Blender</c:v>
                </c:pt>
                <c:pt idx="2">
                  <c:v>Moisturizer</c:v>
                </c:pt>
                <c:pt idx="3">
                  <c:v>Novel</c:v>
                </c:pt>
                <c:pt idx="4">
                  <c:v>Smartphone</c:v>
                </c:pt>
                <c:pt idx="5">
                  <c:v>Sneakers</c:v>
                </c:pt>
                <c:pt idx="6">
                  <c:v>Tent</c:v>
                </c:pt>
              </c:strCache>
            </c:strRef>
          </c:cat>
          <c:val>
            <c:numRef>
              <c:f>Pivot_table!$E$4:$E$11</c:f>
              <c:numCache>
                <c:formatCode>"Rs. "##\.##,"L"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0342-4729-8615-F5F59DDA4D4C}"/>
            </c:ext>
          </c:extLst>
        </c:ser>
        <c:dLbls>
          <c:dLblPos val="outEnd"/>
          <c:showLegendKey val="0"/>
          <c:showVal val="1"/>
          <c:showCatName val="0"/>
          <c:showSerName val="0"/>
          <c:showPercent val="0"/>
          <c:showBubbleSize val="0"/>
        </c:dLbls>
        <c:gapWidth val="52"/>
        <c:axId val="57559520"/>
        <c:axId val="57557600"/>
      </c:barChart>
      <c:catAx>
        <c:axId val="57559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7600"/>
        <c:crosses val="autoZero"/>
        <c:auto val="1"/>
        <c:lblAlgn val="ctr"/>
        <c:lblOffset val="100"/>
        <c:noMultiLvlLbl val="0"/>
      </c:catAx>
      <c:valAx>
        <c:axId val="57557600"/>
        <c:scaling>
          <c:orientation val="minMax"/>
        </c:scaling>
        <c:delete val="1"/>
        <c:axPos val="b"/>
        <c:numFmt formatCode="&quot;Rs. &quot;##\.##,&quot;L&quot;" sourceLinked="1"/>
        <c:majorTickMark val="out"/>
        <c:minorTickMark val="none"/>
        <c:tickLblPos val="nextTo"/>
        <c:crossAx val="57559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Pivot_table!$I$4:$I$14</c:f>
              <c:numCache>
                <c:formatCode>"Rs. "##\.##,"L"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6C7-44F3-812D-D0D6CB0B5969}"/>
            </c:ext>
          </c:extLst>
        </c:ser>
        <c:dLbls>
          <c:showLegendKey val="0"/>
          <c:showVal val="0"/>
          <c:showCatName val="0"/>
          <c:showSerName val="0"/>
          <c:showPercent val="0"/>
          <c:showBubbleSize val="0"/>
        </c:dLbls>
        <c:gapWidth val="80"/>
        <c:overlap val="-27"/>
        <c:axId val="1726063984"/>
        <c:axId val="1726064944"/>
      </c:barChart>
      <c:catAx>
        <c:axId val="17260639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64944"/>
        <c:crosses val="autoZero"/>
        <c:auto val="1"/>
        <c:lblAlgn val="ctr"/>
        <c:lblOffset val="100"/>
        <c:noMultiLvlLbl val="0"/>
      </c:catAx>
      <c:valAx>
        <c:axId val="1726064944"/>
        <c:scaling>
          <c:orientation val="minMax"/>
        </c:scaling>
        <c:delete val="1"/>
        <c:axPos val="l"/>
        <c:numFmt formatCode="&quot;Rs. &quot;##\.##,&quot;L&quot;" sourceLinked="1"/>
        <c:majorTickMark val="none"/>
        <c:minorTickMark val="none"/>
        <c:tickLblPos val="nextTo"/>
        <c:crossAx val="172606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file.xlsx]Pivot_table!PivotTable4</c:name>
    <c:fmtId val="1"/>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
          <c:idx val="0"/>
          <c:layout>
            <c:manualLayout>
              <c:x val="-4.3999999999999997E-2"/>
              <c:y val="-4.6296296296297144E-3"/>
            </c:manualLayout>
          </c:layout>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12954826393198E-2"/>
          <c:y val="0.12115399705955947"/>
          <c:w val="0.93888888888888888"/>
          <c:h val="0.79118875765529306"/>
        </c:manualLayout>
      </c:layout>
      <c:lineChart>
        <c:grouping val="standard"/>
        <c:varyColors val="0"/>
        <c:ser>
          <c:idx val="0"/>
          <c:order val="0"/>
          <c:tx>
            <c:strRef>
              <c:f>Pivot_table!$M$3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square"/>
            <c:size val="8"/>
            <c:spPr>
              <a:noFill/>
              <a:ln>
                <a:solidFill>
                  <a:srgbClr val="549E39"/>
                </a:solidFill>
              </a:ln>
              <a:effectLst/>
            </c:spPr>
          </c:marker>
          <c:dLbls>
            <c:dLbl>
              <c:idx val="4"/>
              <c:layout>
                <c:manualLayout>
                  <c:x val="-4.3999999999999997E-2"/>
                  <c:y val="-4.629629629629714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60-46FF-8085-467EF75F40B3}"/>
                </c:ext>
              </c:extLst>
            </c:dLbl>
            <c:spPr>
              <a:solidFill>
                <a:srgbClr val="549E39"/>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Pivot_table!$L$4:$L$11</c:f>
              <c:strCache>
                <c:ptCount val="7"/>
                <c:pt idx="0">
                  <c:v>Action Figure</c:v>
                </c:pt>
                <c:pt idx="1">
                  <c:v>Blender</c:v>
                </c:pt>
                <c:pt idx="2">
                  <c:v>Moisturizer</c:v>
                </c:pt>
                <c:pt idx="3">
                  <c:v>Novel</c:v>
                </c:pt>
                <c:pt idx="4">
                  <c:v>Smartphone</c:v>
                </c:pt>
                <c:pt idx="5">
                  <c:v>Sneakers</c:v>
                </c:pt>
                <c:pt idx="6">
                  <c:v>Tent</c:v>
                </c:pt>
              </c:strCache>
            </c:strRef>
          </c:cat>
          <c:val>
            <c:numRef>
              <c:f>Pivot_table!$M$4:$M$11</c:f>
              <c:numCache>
                <c:formatCode>General</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FE60-46FF-8085-467EF75F40B3}"/>
            </c:ext>
          </c:extLst>
        </c:ser>
        <c:dLbls>
          <c:dLblPos val="ctr"/>
          <c:showLegendKey val="0"/>
          <c:showVal val="1"/>
          <c:showCatName val="0"/>
          <c:showSerName val="0"/>
          <c:showPercent val="0"/>
          <c:showBubbleSize val="0"/>
        </c:dLbls>
        <c:dropLines>
          <c:spPr>
            <a:ln w="19050" cap="flat" cmpd="sng" algn="ctr">
              <a:solidFill>
                <a:srgbClr val="549E39"/>
              </a:solidFill>
              <a:round/>
            </a:ln>
            <a:effectLst/>
          </c:spPr>
        </c:dropLines>
        <c:marker val="1"/>
        <c:smooth val="0"/>
        <c:axId val="267842336"/>
        <c:axId val="267846176"/>
      </c:lineChart>
      <c:catAx>
        <c:axId val="267842336"/>
        <c:scaling>
          <c:orientation val="minMax"/>
        </c:scaling>
        <c:delete val="0"/>
        <c:axPos val="b"/>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1" i="0" u="none" strike="noStrike" kern="1200" spc="30" baseline="0">
                <a:solidFill>
                  <a:schemeClr val="accent1"/>
                </a:solidFill>
                <a:latin typeface="+mn-lt"/>
                <a:ea typeface="+mn-ea"/>
                <a:cs typeface="+mn-cs"/>
              </a:defRPr>
            </a:pPr>
            <a:endParaRPr lang="en-US"/>
          </a:p>
        </c:txPr>
        <c:crossAx val="267846176"/>
        <c:crosses val="autoZero"/>
        <c:auto val="1"/>
        <c:lblAlgn val="ctr"/>
        <c:lblOffset val="100"/>
        <c:noMultiLvlLbl val="0"/>
      </c:catAx>
      <c:valAx>
        <c:axId val="267846176"/>
        <c:scaling>
          <c:orientation val="minMax"/>
        </c:scaling>
        <c:delete val="1"/>
        <c:axPos val="l"/>
        <c:numFmt formatCode="General" sourceLinked="1"/>
        <c:majorTickMark val="out"/>
        <c:minorTickMark val="none"/>
        <c:tickLblPos val="nextTo"/>
        <c:crossAx val="26784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408000</xdr:colOff>
      <xdr:row>4</xdr:row>
      <xdr:rowOff>132480</xdr:rowOff>
    </xdr:to>
    <xdr:sp macro="" textlink="">
      <xdr:nvSpPr>
        <xdr:cNvPr id="2" name="Rectangle: Rounded Corners 1">
          <a:extLst>
            <a:ext uri="{FF2B5EF4-FFF2-40B4-BE49-F238E27FC236}">
              <a16:creationId xmlns:a16="http://schemas.microsoft.com/office/drawing/2014/main" id="{4EACA3AA-2404-A8B0-14BA-0BB1F1335ABD}"/>
            </a:ext>
          </a:extLst>
        </xdr:cNvPr>
        <xdr:cNvSpPr/>
      </xdr:nvSpPr>
      <xdr:spPr>
        <a:xfrm>
          <a:off x="0" y="0"/>
          <a:ext cx="12600000" cy="849656"/>
        </a:xfrm>
        <a:prstGeom prst="roundRect">
          <a:avLst>
            <a:gd name="adj" fmla="val 138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xdr:row>
      <xdr:rowOff>15240</xdr:rowOff>
    </xdr:from>
    <xdr:to>
      <xdr:col>3</xdr:col>
      <xdr:colOff>495300</xdr:colOff>
      <xdr:row>9</xdr:row>
      <xdr:rowOff>147720</xdr:rowOff>
    </xdr:to>
    <xdr:grpSp>
      <xdr:nvGrpSpPr>
        <xdr:cNvPr id="7" name="Group 6">
          <a:extLst>
            <a:ext uri="{FF2B5EF4-FFF2-40B4-BE49-F238E27FC236}">
              <a16:creationId xmlns:a16="http://schemas.microsoft.com/office/drawing/2014/main" id="{F43E4600-241C-4084-D729-DBF3334A2AFB}"/>
            </a:ext>
          </a:extLst>
        </xdr:cNvPr>
        <xdr:cNvGrpSpPr/>
      </xdr:nvGrpSpPr>
      <xdr:grpSpPr>
        <a:xfrm>
          <a:off x="0" y="940526"/>
          <a:ext cx="2324100" cy="872708"/>
          <a:chOff x="0" y="929640"/>
          <a:chExt cx="2324100" cy="864000"/>
        </a:xfrm>
      </xdr:grpSpPr>
      <xdr:sp macro="" textlink="">
        <xdr:nvSpPr>
          <xdr:cNvPr id="3" name="Rectangle: Rounded Corners 2">
            <a:extLst>
              <a:ext uri="{FF2B5EF4-FFF2-40B4-BE49-F238E27FC236}">
                <a16:creationId xmlns:a16="http://schemas.microsoft.com/office/drawing/2014/main" id="{009FCE01-BE16-94B5-69B0-3D628AF1A0DC}"/>
              </a:ext>
            </a:extLst>
          </xdr:cNvPr>
          <xdr:cNvSpPr/>
        </xdr:nvSpPr>
        <xdr:spPr>
          <a:xfrm>
            <a:off x="15240" y="929640"/>
            <a:ext cx="2160000" cy="864000"/>
          </a:xfrm>
          <a:prstGeom prst="roundRect">
            <a:avLst>
              <a:gd name="adj" fmla="val 138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78102D62-5248-3B3A-943E-FFA916DD6433}"/>
              </a:ext>
            </a:extLst>
          </xdr:cNvPr>
          <xdr:cNvSpPr/>
        </xdr:nvSpPr>
        <xdr:spPr>
          <a:xfrm>
            <a:off x="0" y="929640"/>
            <a:ext cx="632460" cy="864000"/>
          </a:xfrm>
          <a:prstGeom prst="roundRect">
            <a:avLst>
              <a:gd name="adj" fmla="val 13253"/>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0B0805E1-409E-D03E-16AF-3C00EECBFBED}"/>
              </a:ext>
            </a:extLst>
          </xdr:cNvPr>
          <xdr:cNvSpPr txBox="1"/>
        </xdr:nvSpPr>
        <xdr:spPr>
          <a:xfrm>
            <a:off x="868680" y="9601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Agency FB" panose="020B0503020202020204" pitchFamily="34" charset="0"/>
              </a:rPr>
              <a:t>TOTAL</a:t>
            </a:r>
            <a:r>
              <a:rPr lang="en-IN" sz="1400" b="1" baseline="0">
                <a:solidFill>
                  <a:schemeClr val="accent1"/>
                </a:solidFill>
                <a:latin typeface="Agency FB" panose="020B0503020202020204" pitchFamily="34" charset="0"/>
              </a:rPr>
              <a:t> SALES</a:t>
            </a:r>
            <a:endParaRPr lang="en-IN" sz="1400" b="1">
              <a:solidFill>
                <a:schemeClr val="accent1"/>
              </a:solidFill>
              <a:latin typeface="Agency FB" panose="020B0503020202020204" pitchFamily="34" charset="0"/>
            </a:endParaRPr>
          </a:p>
        </xdr:txBody>
      </xdr:sp>
      <xdr:sp macro="" textlink="SalesData!K2">
        <xdr:nvSpPr>
          <xdr:cNvPr id="6" name="TextBox 5">
            <a:extLst>
              <a:ext uri="{FF2B5EF4-FFF2-40B4-BE49-F238E27FC236}">
                <a16:creationId xmlns:a16="http://schemas.microsoft.com/office/drawing/2014/main" id="{46D3B431-BCEA-006B-857B-04DFC92AAE7F}"/>
              </a:ext>
            </a:extLst>
          </xdr:cNvPr>
          <xdr:cNvSpPr txBox="1"/>
        </xdr:nvSpPr>
        <xdr:spPr>
          <a:xfrm>
            <a:off x="647700" y="1272540"/>
            <a:ext cx="16764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D69252-9AE8-48AD-B05B-7C55BFC4E0C0}" type="TxLink">
              <a:rPr lang="en-US" sz="1600" b="1" i="0" u="none" strike="noStrike">
                <a:solidFill>
                  <a:schemeClr val="accent1"/>
                </a:solidFill>
                <a:latin typeface="Aptos Narrow"/>
              </a:rPr>
              <a:t> Rs. 1,29,44,500 </a:t>
            </a:fld>
            <a:endParaRPr lang="en-US" sz="1600" b="1">
              <a:solidFill>
                <a:schemeClr val="accent1"/>
              </a:solidFill>
            </a:endParaRPr>
          </a:p>
        </xdr:txBody>
      </xdr:sp>
    </xdr:grpSp>
    <xdr:clientData/>
  </xdr:twoCellAnchor>
  <xdr:twoCellAnchor>
    <xdr:from>
      <xdr:col>4</xdr:col>
      <xdr:colOff>53340</xdr:colOff>
      <xdr:row>5</xdr:row>
      <xdr:rowOff>15240</xdr:rowOff>
    </xdr:from>
    <xdr:to>
      <xdr:col>8</xdr:col>
      <xdr:colOff>274320</xdr:colOff>
      <xdr:row>9</xdr:row>
      <xdr:rowOff>167640</xdr:rowOff>
    </xdr:to>
    <xdr:grpSp>
      <xdr:nvGrpSpPr>
        <xdr:cNvPr id="18" name="Group 17">
          <a:extLst>
            <a:ext uri="{FF2B5EF4-FFF2-40B4-BE49-F238E27FC236}">
              <a16:creationId xmlns:a16="http://schemas.microsoft.com/office/drawing/2014/main" id="{8DEA0F80-8129-9B33-6580-A61BFA7520FF}"/>
            </a:ext>
          </a:extLst>
        </xdr:cNvPr>
        <xdr:cNvGrpSpPr/>
      </xdr:nvGrpSpPr>
      <xdr:grpSpPr>
        <a:xfrm>
          <a:off x="2491740" y="940526"/>
          <a:ext cx="2659380" cy="892628"/>
          <a:chOff x="0" y="929640"/>
          <a:chExt cx="2659380" cy="883920"/>
        </a:xfrm>
      </xdr:grpSpPr>
      <xdr:sp macro="" textlink="">
        <xdr:nvSpPr>
          <xdr:cNvPr id="19" name="Rectangle: Rounded Corners 18">
            <a:extLst>
              <a:ext uri="{FF2B5EF4-FFF2-40B4-BE49-F238E27FC236}">
                <a16:creationId xmlns:a16="http://schemas.microsoft.com/office/drawing/2014/main" id="{2CDAC1B0-A9E8-325B-DB1E-92558A5C6B11}"/>
              </a:ext>
            </a:extLst>
          </xdr:cNvPr>
          <xdr:cNvSpPr/>
        </xdr:nvSpPr>
        <xdr:spPr>
          <a:xfrm>
            <a:off x="15240" y="929640"/>
            <a:ext cx="2160000" cy="864000"/>
          </a:xfrm>
          <a:prstGeom prst="roundRect">
            <a:avLst>
              <a:gd name="adj" fmla="val 138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54D5C033-4AC3-752A-0A96-5E8C6B0B5C1C}"/>
              </a:ext>
            </a:extLst>
          </xdr:cNvPr>
          <xdr:cNvSpPr/>
        </xdr:nvSpPr>
        <xdr:spPr>
          <a:xfrm>
            <a:off x="0" y="929640"/>
            <a:ext cx="632460" cy="864000"/>
          </a:xfrm>
          <a:prstGeom prst="roundRect">
            <a:avLst>
              <a:gd name="adj" fmla="val 13253"/>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FE1E8EAD-A643-4E32-555F-43AD82197910}"/>
              </a:ext>
            </a:extLst>
          </xdr:cNvPr>
          <xdr:cNvSpPr txBox="1"/>
        </xdr:nvSpPr>
        <xdr:spPr>
          <a:xfrm>
            <a:off x="868680" y="9601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latin typeface="Agency FB" panose="020B0503020202020204" pitchFamily="34" charset="0"/>
              </a:rPr>
              <a:t>UNIT SOLD</a:t>
            </a:r>
          </a:p>
        </xdr:txBody>
      </xdr:sp>
      <xdr:sp macro="" textlink="SalesData!K4">
        <xdr:nvSpPr>
          <xdr:cNvPr id="22" name="TextBox 21">
            <a:extLst>
              <a:ext uri="{FF2B5EF4-FFF2-40B4-BE49-F238E27FC236}">
                <a16:creationId xmlns:a16="http://schemas.microsoft.com/office/drawing/2014/main" id="{AB7FA4BA-EC9B-65FC-65A8-A53A4A5AD95B}"/>
              </a:ext>
            </a:extLst>
          </xdr:cNvPr>
          <xdr:cNvSpPr txBox="1"/>
        </xdr:nvSpPr>
        <xdr:spPr>
          <a:xfrm>
            <a:off x="982980" y="1295400"/>
            <a:ext cx="16764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4EBC2D-F68D-4A8C-9542-F155676F9088}" type="TxLink">
              <a:rPr lang="en-US" sz="1600" b="1" i="0" u="none" strike="noStrike">
                <a:solidFill>
                  <a:schemeClr val="accent1"/>
                </a:solidFill>
                <a:latin typeface="Aptos Narrow"/>
              </a:rPr>
              <a:t>4705</a:t>
            </a:fld>
            <a:endParaRPr lang="en-US" sz="2400" b="1">
              <a:solidFill>
                <a:schemeClr val="accent1"/>
              </a:solidFill>
            </a:endParaRPr>
          </a:p>
        </xdr:txBody>
      </xdr:sp>
    </xdr:grpSp>
    <xdr:clientData/>
  </xdr:twoCellAnchor>
  <xdr:twoCellAnchor>
    <xdr:from>
      <xdr:col>8</xdr:col>
      <xdr:colOff>91440</xdr:colOff>
      <xdr:row>5</xdr:row>
      <xdr:rowOff>15240</xdr:rowOff>
    </xdr:from>
    <xdr:to>
      <xdr:col>11</xdr:col>
      <xdr:colOff>586740</xdr:colOff>
      <xdr:row>9</xdr:row>
      <xdr:rowOff>147720</xdr:rowOff>
    </xdr:to>
    <xdr:grpSp>
      <xdr:nvGrpSpPr>
        <xdr:cNvPr id="23" name="Group 22">
          <a:extLst>
            <a:ext uri="{FF2B5EF4-FFF2-40B4-BE49-F238E27FC236}">
              <a16:creationId xmlns:a16="http://schemas.microsoft.com/office/drawing/2014/main" id="{9E8F7F38-EFF3-E2F0-0ECC-C154353B1BB8}"/>
            </a:ext>
          </a:extLst>
        </xdr:cNvPr>
        <xdr:cNvGrpSpPr/>
      </xdr:nvGrpSpPr>
      <xdr:grpSpPr>
        <a:xfrm>
          <a:off x="4968240" y="940526"/>
          <a:ext cx="2324100" cy="872708"/>
          <a:chOff x="0" y="929640"/>
          <a:chExt cx="2324100" cy="864000"/>
        </a:xfrm>
      </xdr:grpSpPr>
      <xdr:sp macro="" textlink="">
        <xdr:nvSpPr>
          <xdr:cNvPr id="24" name="Rectangle: Rounded Corners 23">
            <a:extLst>
              <a:ext uri="{FF2B5EF4-FFF2-40B4-BE49-F238E27FC236}">
                <a16:creationId xmlns:a16="http://schemas.microsoft.com/office/drawing/2014/main" id="{B3D08234-6EE3-DAC8-5201-891071F3EE62}"/>
              </a:ext>
            </a:extLst>
          </xdr:cNvPr>
          <xdr:cNvSpPr/>
        </xdr:nvSpPr>
        <xdr:spPr>
          <a:xfrm>
            <a:off x="15240" y="929640"/>
            <a:ext cx="2160000" cy="864000"/>
          </a:xfrm>
          <a:prstGeom prst="roundRect">
            <a:avLst>
              <a:gd name="adj" fmla="val 138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5C65C12F-5C7C-98C1-BA60-027BAE7A2862}"/>
              </a:ext>
            </a:extLst>
          </xdr:cNvPr>
          <xdr:cNvSpPr/>
        </xdr:nvSpPr>
        <xdr:spPr>
          <a:xfrm>
            <a:off x="0" y="929640"/>
            <a:ext cx="632460" cy="864000"/>
          </a:xfrm>
          <a:prstGeom prst="roundRect">
            <a:avLst>
              <a:gd name="adj" fmla="val 13253"/>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E5EBDAFB-AF4A-D065-4A77-A62C6226C546}"/>
              </a:ext>
            </a:extLst>
          </xdr:cNvPr>
          <xdr:cNvSpPr txBox="1"/>
        </xdr:nvSpPr>
        <xdr:spPr>
          <a:xfrm>
            <a:off x="693420" y="982980"/>
            <a:ext cx="14097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baseline="0">
                <a:solidFill>
                  <a:schemeClr val="accent1"/>
                </a:solidFill>
                <a:latin typeface="Agency FB" panose="020B0503020202020204" pitchFamily="34" charset="0"/>
              </a:rPr>
              <a:t>AVERAGE SALES</a:t>
            </a:r>
            <a:endParaRPr lang="en-IN" sz="1400" b="1">
              <a:solidFill>
                <a:schemeClr val="accent1"/>
              </a:solidFill>
              <a:latin typeface="Agency FB" panose="020B0503020202020204" pitchFamily="34" charset="0"/>
            </a:endParaRPr>
          </a:p>
        </xdr:txBody>
      </xdr:sp>
      <xdr:sp macro="" textlink="SalesData!K2">
        <xdr:nvSpPr>
          <xdr:cNvPr id="27" name="TextBox 26">
            <a:extLst>
              <a:ext uri="{FF2B5EF4-FFF2-40B4-BE49-F238E27FC236}">
                <a16:creationId xmlns:a16="http://schemas.microsoft.com/office/drawing/2014/main" id="{016BC199-B24A-9DC4-02E2-7CA4E036703C}"/>
              </a:ext>
            </a:extLst>
          </xdr:cNvPr>
          <xdr:cNvSpPr txBox="1"/>
        </xdr:nvSpPr>
        <xdr:spPr>
          <a:xfrm>
            <a:off x="647700" y="1272540"/>
            <a:ext cx="16764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D69252-9AE8-48AD-B05B-7C55BFC4E0C0}" type="TxLink">
              <a:rPr lang="en-US" sz="1600" b="1" i="0" u="none" strike="noStrike">
                <a:solidFill>
                  <a:schemeClr val="accent1"/>
                </a:solidFill>
                <a:latin typeface="Aptos Narrow"/>
              </a:rPr>
              <a:t> Rs. 1,29,44,500 </a:t>
            </a:fld>
            <a:endParaRPr lang="en-US" sz="1600" b="1">
              <a:solidFill>
                <a:schemeClr val="accent1"/>
              </a:solidFill>
            </a:endParaRPr>
          </a:p>
        </xdr:txBody>
      </xdr:sp>
    </xdr:grpSp>
    <xdr:clientData/>
  </xdr:twoCellAnchor>
  <xdr:twoCellAnchor>
    <xdr:from>
      <xdr:col>12</xdr:col>
      <xdr:colOff>106680</xdr:colOff>
      <xdr:row>5</xdr:row>
      <xdr:rowOff>15240</xdr:rowOff>
    </xdr:from>
    <xdr:to>
      <xdr:col>15</xdr:col>
      <xdr:colOff>601980</xdr:colOff>
      <xdr:row>9</xdr:row>
      <xdr:rowOff>147720</xdr:rowOff>
    </xdr:to>
    <xdr:grpSp>
      <xdr:nvGrpSpPr>
        <xdr:cNvPr id="33" name="Group 32">
          <a:extLst>
            <a:ext uri="{FF2B5EF4-FFF2-40B4-BE49-F238E27FC236}">
              <a16:creationId xmlns:a16="http://schemas.microsoft.com/office/drawing/2014/main" id="{CCB054FA-B18E-19C9-83F1-B2C1E2CCA8D1}"/>
            </a:ext>
          </a:extLst>
        </xdr:cNvPr>
        <xdr:cNvGrpSpPr/>
      </xdr:nvGrpSpPr>
      <xdr:grpSpPr>
        <a:xfrm>
          <a:off x="7421880" y="940526"/>
          <a:ext cx="2324100" cy="872708"/>
          <a:chOff x="0" y="929640"/>
          <a:chExt cx="2324100" cy="864000"/>
        </a:xfrm>
      </xdr:grpSpPr>
      <xdr:sp macro="" textlink="">
        <xdr:nvSpPr>
          <xdr:cNvPr id="34" name="Rectangle: Rounded Corners 33">
            <a:extLst>
              <a:ext uri="{FF2B5EF4-FFF2-40B4-BE49-F238E27FC236}">
                <a16:creationId xmlns:a16="http://schemas.microsoft.com/office/drawing/2014/main" id="{895760CB-CC81-56E5-C13D-24D3A30B8355}"/>
              </a:ext>
            </a:extLst>
          </xdr:cNvPr>
          <xdr:cNvSpPr/>
        </xdr:nvSpPr>
        <xdr:spPr>
          <a:xfrm>
            <a:off x="15240" y="929640"/>
            <a:ext cx="2160000" cy="864000"/>
          </a:xfrm>
          <a:prstGeom prst="roundRect">
            <a:avLst>
              <a:gd name="adj" fmla="val 1388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E62D13B5-A336-DC96-61B9-A935B7B88DB8}"/>
              </a:ext>
            </a:extLst>
          </xdr:cNvPr>
          <xdr:cNvSpPr/>
        </xdr:nvSpPr>
        <xdr:spPr>
          <a:xfrm>
            <a:off x="0" y="929640"/>
            <a:ext cx="632460" cy="864000"/>
          </a:xfrm>
          <a:prstGeom prst="roundRect">
            <a:avLst>
              <a:gd name="adj" fmla="val 13253"/>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7C99210C-E7AF-15F5-B0DA-FDF6C57BA19E}"/>
              </a:ext>
            </a:extLst>
          </xdr:cNvPr>
          <xdr:cNvSpPr txBox="1"/>
        </xdr:nvSpPr>
        <xdr:spPr>
          <a:xfrm>
            <a:off x="868680" y="9601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solidFill>
                <a:latin typeface="Agency FB" panose="020B0503020202020204" pitchFamily="34" charset="0"/>
              </a:rPr>
              <a:t>PROFIT</a:t>
            </a:r>
            <a:endParaRPr lang="en-IN" sz="1200" b="1">
              <a:solidFill>
                <a:schemeClr val="accent1"/>
              </a:solidFill>
              <a:latin typeface="Agency FB" panose="020B0503020202020204" pitchFamily="34" charset="0"/>
            </a:endParaRPr>
          </a:p>
        </xdr:txBody>
      </xdr:sp>
      <xdr:sp macro="" textlink="SalesData!K6">
        <xdr:nvSpPr>
          <xdr:cNvPr id="37" name="TextBox 36">
            <a:extLst>
              <a:ext uri="{FF2B5EF4-FFF2-40B4-BE49-F238E27FC236}">
                <a16:creationId xmlns:a16="http://schemas.microsoft.com/office/drawing/2014/main" id="{E0EB678C-5D74-AA67-FB03-871D97E78E53}"/>
              </a:ext>
            </a:extLst>
          </xdr:cNvPr>
          <xdr:cNvSpPr txBox="1"/>
        </xdr:nvSpPr>
        <xdr:spPr>
          <a:xfrm>
            <a:off x="647700" y="1272540"/>
            <a:ext cx="167640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BEECD4-3950-4A77-956F-5D52D85FE7C9}" type="TxLink">
              <a:rPr lang="en-US" sz="1600" b="1" i="0" u="none" strike="noStrike">
                <a:solidFill>
                  <a:schemeClr val="accent1"/>
                </a:solidFill>
                <a:latin typeface="Aptos Narrow"/>
              </a:rPr>
              <a:t> Rs. 38,34,400 </a:t>
            </a:fld>
            <a:endParaRPr lang="en-US" sz="2400" b="1">
              <a:solidFill>
                <a:schemeClr val="accent1"/>
              </a:solidFill>
            </a:endParaRPr>
          </a:p>
        </xdr:txBody>
      </xdr:sp>
    </xdr:grpSp>
    <xdr:clientData/>
  </xdr:twoCellAnchor>
  <xdr:twoCellAnchor editAs="oneCell">
    <xdr:from>
      <xdr:col>8</xdr:col>
      <xdr:colOff>60960</xdr:colOff>
      <xdr:row>5</xdr:row>
      <xdr:rowOff>45720</xdr:rowOff>
    </xdr:from>
    <xdr:to>
      <xdr:col>9</xdr:col>
      <xdr:colOff>91440</xdr:colOff>
      <xdr:row>9</xdr:row>
      <xdr:rowOff>175260</xdr:rowOff>
    </xdr:to>
    <xdr:pic>
      <xdr:nvPicPr>
        <xdr:cNvPr id="39" name="Graphic 38" descr="Coins with solid fill">
          <a:extLst>
            <a:ext uri="{FF2B5EF4-FFF2-40B4-BE49-F238E27FC236}">
              <a16:creationId xmlns:a16="http://schemas.microsoft.com/office/drawing/2014/main" id="{AB1AAD9C-80F9-F9BB-81CD-CEB4BF9B389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flipH="1">
          <a:off x="4937760" y="960120"/>
          <a:ext cx="640080" cy="861060"/>
        </a:xfrm>
        <a:prstGeom prst="rect">
          <a:avLst/>
        </a:prstGeom>
      </xdr:spPr>
    </xdr:pic>
    <xdr:clientData/>
  </xdr:twoCellAnchor>
  <xdr:twoCellAnchor editAs="oneCell">
    <xdr:from>
      <xdr:col>12</xdr:col>
      <xdr:colOff>96660</xdr:colOff>
      <xdr:row>5</xdr:row>
      <xdr:rowOff>99060</xdr:rowOff>
    </xdr:from>
    <xdr:to>
      <xdr:col>13</xdr:col>
      <xdr:colOff>142380</xdr:colOff>
      <xdr:row>9</xdr:row>
      <xdr:rowOff>22860</xdr:rowOff>
    </xdr:to>
    <xdr:pic>
      <xdr:nvPicPr>
        <xdr:cNvPr id="41" name="Graphic 40" descr="Money with solid fill">
          <a:extLst>
            <a:ext uri="{FF2B5EF4-FFF2-40B4-BE49-F238E27FC236}">
              <a16:creationId xmlns:a16="http://schemas.microsoft.com/office/drawing/2014/main" id="{4C442021-5917-C5D1-BDC5-D1EBA8AF99E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7411860" y="1013460"/>
          <a:ext cx="655320" cy="655320"/>
        </a:xfrm>
        <a:prstGeom prst="rect">
          <a:avLst/>
        </a:prstGeom>
      </xdr:spPr>
    </xdr:pic>
    <xdr:clientData/>
  </xdr:twoCellAnchor>
  <xdr:twoCellAnchor editAs="oneCell">
    <xdr:from>
      <xdr:col>3</xdr:col>
      <xdr:colOff>589560</xdr:colOff>
      <xdr:row>5</xdr:row>
      <xdr:rowOff>137160</xdr:rowOff>
    </xdr:from>
    <xdr:to>
      <xdr:col>5</xdr:col>
      <xdr:colOff>119940</xdr:colOff>
      <xdr:row>9</xdr:row>
      <xdr:rowOff>155220</xdr:rowOff>
    </xdr:to>
    <xdr:pic>
      <xdr:nvPicPr>
        <xdr:cNvPr id="43" name="Graphic 42" descr="Shopping cart with solid fill">
          <a:extLst>
            <a:ext uri="{FF2B5EF4-FFF2-40B4-BE49-F238E27FC236}">
              <a16:creationId xmlns:a16="http://schemas.microsoft.com/office/drawing/2014/main" id="{82DBC85D-783E-D4BA-502F-9A9EFBB6D6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2418360" y="1051560"/>
          <a:ext cx="749580" cy="749580"/>
        </a:xfrm>
        <a:prstGeom prst="rect">
          <a:avLst/>
        </a:prstGeom>
      </xdr:spPr>
    </xdr:pic>
    <xdr:clientData/>
  </xdr:twoCellAnchor>
  <xdr:twoCellAnchor editAs="oneCell">
    <xdr:from>
      <xdr:col>0</xdr:col>
      <xdr:colOff>0</xdr:colOff>
      <xdr:row>5</xdr:row>
      <xdr:rowOff>83820</xdr:rowOff>
    </xdr:from>
    <xdr:to>
      <xdr:col>1</xdr:col>
      <xdr:colOff>23280</xdr:colOff>
      <xdr:row>9</xdr:row>
      <xdr:rowOff>175680</xdr:rowOff>
    </xdr:to>
    <xdr:pic>
      <xdr:nvPicPr>
        <xdr:cNvPr id="45" name="Graphic 44" descr="Upward trend with solid fill">
          <a:extLst>
            <a:ext uri="{FF2B5EF4-FFF2-40B4-BE49-F238E27FC236}">
              <a16:creationId xmlns:a16="http://schemas.microsoft.com/office/drawing/2014/main" id="{98116126-28C5-80F1-7B60-AD0764A533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0" y="998220"/>
          <a:ext cx="632880" cy="823380"/>
        </a:xfrm>
        <a:prstGeom prst="rect">
          <a:avLst/>
        </a:prstGeom>
      </xdr:spPr>
    </xdr:pic>
    <xdr:clientData/>
  </xdr:twoCellAnchor>
  <xdr:twoCellAnchor>
    <xdr:from>
      <xdr:col>7</xdr:col>
      <xdr:colOff>99060</xdr:colOff>
      <xdr:row>0</xdr:row>
      <xdr:rowOff>137160</xdr:rowOff>
    </xdr:from>
    <xdr:to>
      <xdr:col>14</xdr:col>
      <xdr:colOff>53340</xdr:colOff>
      <xdr:row>4</xdr:row>
      <xdr:rowOff>7620</xdr:rowOff>
    </xdr:to>
    <xdr:sp macro="" textlink="">
      <xdr:nvSpPr>
        <xdr:cNvPr id="46" name="TextBox 45">
          <a:extLst>
            <a:ext uri="{FF2B5EF4-FFF2-40B4-BE49-F238E27FC236}">
              <a16:creationId xmlns:a16="http://schemas.microsoft.com/office/drawing/2014/main" id="{493C090A-0E58-2B6A-88FF-85181B9CE377}"/>
            </a:ext>
          </a:extLst>
        </xdr:cNvPr>
        <xdr:cNvSpPr txBox="1"/>
      </xdr:nvSpPr>
      <xdr:spPr>
        <a:xfrm>
          <a:off x="4366260" y="137160"/>
          <a:ext cx="42214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1"/>
              </a:solidFill>
              <a:latin typeface="Agency FB" panose="020B0503020202020204" pitchFamily="34" charset="0"/>
            </a:rPr>
            <a:t>SALES DASHBOARD</a:t>
          </a:r>
        </a:p>
      </xdr:txBody>
    </xdr:sp>
    <xdr:clientData/>
  </xdr:twoCellAnchor>
  <xdr:twoCellAnchor editAs="oneCell">
    <xdr:from>
      <xdr:col>15</xdr:col>
      <xdr:colOff>533400</xdr:colOff>
      <xdr:row>5</xdr:row>
      <xdr:rowOff>114300</xdr:rowOff>
    </xdr:from>
    <xdr:to>
      <xdr:col>20</xdr:col>
      <xdr:colOff>449580</xdr:colOff>
      <xdr:row>9</xdr:row>
      <xdr:rowOff>102780</xdr:rowOff>
    </xdr:to>
    <mc:AlternateContent xmlns:mc="http://schemas.openxmlformats.org/markup-compatibility/2006">
      <mc:Choice xmlns:a14="http://schemas.microsoft.com/office/drawing/2010/main" Requires="a14">
        <xdr:graphicFrame macro="">
          <xdr:nvGraphicFramePr>
            <xdr:cNvPr id="47" name="Region 1">
              <a:extLst>
                <a:ext uri="{FF2B5EF4-FFF2-40B4-BE49-F238E27FC236}">
                  <a16:creationId xmlns:a16="http://schemas.microsoft.com/office/drawing/2014/main" id="{C67321D6-898C-4186-A210-00995849CB4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677400" y="1039586"/>
              <a:ext cx="2964180" cy="728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41366</xdr:colOff>
      <xdr:row>24</xdr:row>
      <xdr:rowOff>151016</xdr:rowOff>
    </xdr:from>
    <xdr:to>
      <xdr:col>3</xdr:col>
      <xdr:colOff>41366</xdr:colOff>
      <xdr:row>42</xdr:row>
      <xdr:rowOff>97971</xdr:rowOff>
    </xdr:to>
    <mc:AlternateContent xmlns:mc="http://schemas.openxmlformats.org/markup-compatibility/2006">
      <mc:Choice xmlns:a14="http://schemas.microsoft.com/office/drawing/2010/main" Requires="a14">
        <xdr:graphicFrame macro="">
          <xdr:nvGraphicFramePr>
            <xdr:cNvPr id="48" name="Sales Person 1">
              <a:extLst>
                <a:ext uri="{FF2B5EF4-FFF2-40B4-BE49-F238E27FC236}">
                  <a16:creationId xmlns:a16="http://schemas.microsoft.com/office/drawing/2014/main" id="{0D68476A-7158-4C86-831E-7487B6CF7C9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41366" y="4592387"/>
              <a:ext cx="1828800" cy="327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47106</xdr:colOff>
      <xdr:row>10</xdr:row>
      <xdr:rowOff>53538</xdr:rowOff>
    </xdr:from>
    <xdr:to>
      <xdr:col>3</xdr:col>
      <xdr:colOff>47106</xdr:colOff>
      <xdr:row>24</xdr:row>
      <xdr:rowOff>74493</xdr:rowOff>
    </xdr:to>
    <mc:AlternateContent xmlns:mc="http://schemas.openxmlformats.org/markup-compatibility/2006">
      <mc:Choice xmlns:a14="http://schemas.microsoft.com/office/drawing/2010/main" Requires="a14">
        <xdr:graphicFrame macro="">
          <xdr:nvGraphicFramePr>
            <xdr:cNvPr id="49" name="Product 1">
              <a:extLst>
                <a:ext uri="{FF2B5EF4-FFF2-40B4-BE49-F238E27FC236}">
                  <a16:creationId xmlns:a16="http://schemas.microsoft.com/office/drawing/2014/main" id="{6DD8C61F-197D-4DFE-B2C2-63C090F2788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7106" y="1904109"/>
              <a:ext cx="1828800" cy="261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98612</xdr:colOff>
      <xdr:row>10</xdr:row>
      <xdr:rowOff>8965</xdr:rowOff>
    </xdr:from>
    <xdr:to>
      <xdr:col>12</xdr:col>
      <xdr:colOff>215153</xdr:colOff>
      <xdr:row>27</xdr:row>
      <xdr:rowOff>170329</xdr:rowOff>
    </xdr:to>
    <xdr:sp macro="" textlink="">
      <xdr:nvSpPr>
        <xdr:cNvPr id="50" name="Rectangle: Rounded Corners 49">
          <a:extLst>
            <a:ext uri="{FF2B5EF4-FFF2-40B4-BE49-F238E27FC236}">
              <a16:creationId xmlns:a16="http://schemas.microsoft.com/office/drawing/2014/main" id="{EB949D5F-D520-B40D-D1F0-48474BDD3DDD}"/>
            </a:ext>
          </a:extLst>
        </xdr:cNvPr>
        <xdr:cNvSpPr/>
      </xdr:nvSpPr>
      <xdr:spPr>
        <a:xfrm>
          <a:off x="1927412" y="1801906"/>
          <a:ext cx="5602941" cy="3209364"/>
        </a:xfrm>
        <a:prstGeom prst="roundRect">
          <a:avLst>
            <a:gd name="adj" fmla="val 243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cap="none" spc="0">
              <a:ln w="0"/>
              <a:solidFill>
                <a:schemeClr val="accent1"/>
              </a:solidFill>
              <a:effectLst>
                <a:outerShdw blurRad="38100" dist="25400" dir="5400000" algn="ctr" rotWithShape="0">
                  <a:srgbClr val="6E747A">
                    <a:alpha val="43000"/>
                  </a:srgbClr>
                </a:outerShdw>
              </a:effectLst>
            </a:rPr>
            <a:t>UNIT</a:t>
          </a:r>
          <a:r>
            <a:rPr lang="en-IN" sz="1100" b="1" cap="none" spc="0" baseline="0">
              <a:ln w="0"/>
              <a:solidFill>
                <a:schemeClr val="accent1"/>
              </a:solidFill>
              <a:effectLst>
                <a:outerShdw blurRad="38100" dist="25400" dir="5400000" algn="ctr" rotWithShape="0">
                  <a:srgbClr val="6E747A">
                    <a:alpha val="43000"/>
                  </a:srgbClr>
                </a:outerShdw>
              </a:effectLst>
            </a:rPr>
            <a:t> SOLD BY PRODUCT</a:t>
          </a:r>
          <a:endParaRPr lang="en-IN" sz="1100" b="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12</xdr:col>
      <xdr:colOff>267657</xdr:colOff>
      <xdr:row>10</xdr:row>
      <xdr:rowOff>35860</xdr:rowOff>
    </xdr:from>
    <xdr:to>
      <xdr:col>21</xdr:col>
      <xdr:colOff>384198</xdr:colOff>
      <xdr:row>28</xdr:row>
      <xdr:rowOff>17930</xdr:rowOff>
    </xdr:to>
    <xdr:sp macro="" textlink="">
      <xdr:nvSpPr>
        <xdr:cNvPr id="51" name="Rectangle: Rounded Corners 50">
          <a:extLst>
            <a:ext uri="{FF2B5EF4-FFF2-40B4-BE49-F238E27FC236}">
              <a16:creationId xmlns:a16="http://schemas.microsoft.com/office/drawing/2014/main" id="{496C8462-AA43-4198-84FF-2FC79564FE7D}"/>
            </a:ext>
          </a:extLst>
        </xdr:cNvPr>
        <xdr:cNvSpPr/>
      </xdr:nvSpPr>
      <xdr:spPr>
        <a:xfrm>
          <a:off x="7582857" y="1886431"/>
          <a:ext cx="5602941" cy="3313099"/>
        </a:xfrm>
        <a:prstGeom prst="roundRect">
          <a:avLst>
            <a:gd name="adj" fmla="val 243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 SALES BY REGION</a:t>
          </a:r>
        </a:p>
      </xdr:txBody>
    </xdr:sp>
    <xdr:clientData/>
  </xdr:twoCellAnchor>
  <xdr:twoCellAnchor>
    <xdr:from>
      <xdr:col>3</xdr:col>
      <xdr:colOff>179294</xdr:colOff>
      <xdr:row>28</xdr:row>
      <xdr:rowOff>170330</xdr:rowOff>
    </xdr:from>
    <xdr:to>
      <xdr:col>12</xdr:col>
      <xdr:colOff>295835</xdr:colOff>
      <xdr:row>46</xdr:row>
      <xdr:rowOff>152400</xdr:rowOff>
    </xdr:to>
    <xdr:sp macro="" textlink="">
      <xdr:nvSpPr>
        <xdr:cNvPr id="52" name="Rectangle: Rounded Corners 51">
          <a:extLst>
            <a:ext uri="{FF2B5EF4-FFF2-40B4-BE49-F238E27FC236}">
              <a16:creationId xmlns:a16="http://schemas.microsoft.com/office/drawing/2014/main" id="{84E2CFEC-23ED-48C0-9439-22F281534165}"/>
            </a:ext>
          </a:extLst>
        </xdr:cNvPr>
        <xdr:cNvSpPr/>
      </xdr:nvSpPr>
      <xdr:spPr>
        <a:xfrm>
          <a:off x="2008094" y="5190565"/>
          <a:ext cx="5602941" cy="3209364"/>
        </a:xfrm>
        <a:prstGeom prst="roundRect">
          <a:avLst>
            <a:gd name="adj" fmla="val 243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TOAL SALES BY PRODUCT</a:t>
          </a:r>
        </a:p>
      </xdr:txBody>
    </xdr:sp>
    <xdr:clientData/>
  </xdr:twoCellAnchor>
  <xdr:twoCellAnchor>
    <xdr:from>
      <xdr:col>3</xdr:col>
      <xdr:colOff>161365</xdr:colOff>
      <xdr:row>12</xdr:row>
      <xdr:rowOff>1</xdr:rowOff>
    </xdr:from>
    <xdr:to>
      <xdr:col>12</xdr:col>
      <xdr:colOff>188259</xdr:colOff>
      <xdr:row>27</xdr:row>
      <xdr:rowOff>86445</xdr:rowOff>
    </xdr:to>
    <xdr:graphicFrame macro="">
      <xdr:nvGraphicFramePr>
        <xdr:cNvPr id="53" name="Chart 52">
          <a:extLst>
            <a:ext uri="{FF2B5EF4-FFF2-40B4-BE49-F238E27FC236}">
              <a16:creationId xmlns:a16="http://schemas.microsoft.com/office/drawing/2014/main" id="{49CE41FF-EE5A-477B-B85B-FB65D4E33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272143</xdr:colOff>
      <xdr:row>29</xdr:row>
      <xdr:rowOff>26254</xdr:rowOff>
    </xdr:from>
    <xdr:to>
      <xdr:col>21</xdr:col>
      <xdr:colOff>388684</xdr:colOff>
      <xdr:row>47</xdr:row>
      <xdr:rowOff>8323</xdr:rowOff>
    </xdr:to>
    <xdr:sp macro="" textlink="">
      <xdr:nvSpPr>
        <xdr:cNvPr id="54" name="Rectangle: Rounded Corners 53">
          <a:extLst>
            <a:ext uri="{FF2B5EF4-FFF2-40B4-BE49-F238E27FC236}">
              <a16:creationId xmlns:a16="http://schemas.microsoft.com/office/drawing/2014/main" id="{2D880DBC-22C6-4BD0-869D-AD2E55ECCE02}"/>
            </a:ext>
          </a:extLst>
        </xdr:cNvPr>
        <xdr:cNvSpPr/>
      </xdr:nvSpPr>
      <xdr:spPr>
        <a:xfrm>
          <a:off x="7587343" y="5392911"/>
          <a:ext cx="5602941" cy="3313098"/>
        </a:xfrm>
        <a:prstGeom prst="roundRect">
          <a:avLst>
            <a:gd name="adj" fmla="val 243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accent1"/>
              </a:solidFill>
            </a:rPr>
            <a:t>TOTAL SALES BY SALES PERSON</a:t>
          </a:r>
        </a:p>
      </xdr:txBody>
    </xdr:sp>
    <xdr:clientData/>
  </xdr:twoCellAnchor>
  <xdr:twoCellAnchor>
    <xdr:from>
      <xdr:col>12</xdr:col>
      <xdr:colOff>466165</xdr:colOff>
      <xdr:row>12</xdr:row>
      <xdr:rowOff>1922</xdr:rowOff>
    </xdr:from>
    <xdr:to>
      <xdr:col>21</xdr:col>
      <xdr:colOff>340659</xdr:colOff>
      <xdr:row>27</xdr:row>
      <xdr:rowOff>148025</xdr:rowOff>
    </xdr:to>
    <xdr:graphicFrame macro="">
      <xdr:nvGraphicFramePr>
        <xdr:cNvPr id="55" name="Chart 54">
          <a:extLst>
            <a:ext uri="{FF2B5EF4-FFF2-40B4-BE49-F238E27FC236}">
              <a16:creationId xmlns:a16="http://schemas.microsoft.com/office/drawing/2014/main" id="{E4AC0950-C474-456F-A94C-BF31172CC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268943</xdr:colOff>
      <xdr:row>30</xdr:row>
      <xdr:rowOff>107577</xdr:rowOff>
    </xdr:from>
    <xdr:to>
      <xdr:col>12</xdr:col>
      <xdr:colOff>116543</xdr:colOff>
      <xdr:row>45</xdr:row>
      <xdr:rowOff>161365</xdr:rowOff>
    </xdr:to>
    <xdr:graphicFrame macro="">
      <xdr:nvGraphicFramePr>
        <xdr:cNvPr id="56" name="Chart 55">
          <a:extLst>
            <a:ext uri="{FF2B5EF4-FFF2-40B4-BE49-F238E27FC236}">
              <a16:creationId xmlns:a16="http://schemas.microsoft.com/office/drawing/2014/main" id="{E5F60116-7FC2-4ACC-BADC-A941C85E3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397008</xdr:colOff>
      <xdr:row>30</xdr:row>
      <xdr:rowOff>164567</xdr:rowOff>
    </xdr:from>
    <xdr:to>
      <xdr:col>21</xdr:col>
      <xdr:colOff>154961</xdr:colOff>
      <xdr:row>45</xdr:row>
      <xdr:rowOff>176794</xdr:rowOff>
    </xdr:to>
    <xdr:graphicFrame macro="">
      <xdr:nvGraphicFramePr>
        <xdr:cNvPr id="57" name="Chart 56">
          <a:extLst>
            <a:ext uri="{FF2B5EF4-FFF2-40B4-BE49-F238E27FC236}">
              <a16:creationId xmlns:a16="http://schemas.microsoft.com/office/drawing/2014/main" id="{E8D4EAC0-4663-462B-8D8B-E2D1C6285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14</xdr:row>
      <xdr:rowOff>22860</xdr:rowOff>
    </xdr:from>
    <xdr:to>
      <xdr:col>4</xdr:col>
      <xdr:colOff>777234</xdr:colOff>
      <xdr:row>30</xdr:row>
      <xdr:rowOff>114300</xdr:rowOff>
    </xdr:to>
    <xdr:graphicFrame macro="">
      <xdr:nvGraphicFramePr>
        <xdr:cNvPr id="2" name="Chart 1">
          <a:extLst>
            <a:ext uri="{FF2B5EF4-FFF2-40B4-BE49-F238E27FC236}">
              <a16:creationId xmlns:a16="http://schemas.microsoft.com/office/drawing/2014/main" id="{1134F0F9-257C-CD4C-BB29-28D5C23E7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762000</xdr:colOff>
      <xdr:row>14</xdr:row>
      <xdr:rowOff>19050</xdr:rowOff>
    </xdr:from>
    <xdr:to>
      <xdr:col>11</xdr:col>
      <xdr:colOff>579120</xdr:colOff>
      <xdr:row>32</xdr:row>
      <xdr:rowOff>0</xdr:rowOff>
    </xdr:to>
    <xdr:graphicFrame macro="">
      <xdr:nvGraphicFramePr>
        <xdr:cNvPr id="3" name="Chart 2">
          <a:extLst>
            <a:ext uri="{FF2B5EF4-FFF2-40B4-BE49-F238E27FC236}">
              <a16:creationId xmlns:a16="http://schemas.microsoft.com/office/drawing/2014/main" id="{E38EA9B8-AD69-31A4-09FF-13CF3F4E8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586740</xdr:colOff>
      <xdr:row>14</xdr:row>
      <xdr:rowOff>171450</xdr:rowOff>
    </xdr:from>
    <xdr:to>
      <xdr:col>18</xdr:col>
      <xdr:colOff>190500</xdr:colOff>
      <xdr:row>29</xdr:row>
      <xdr:rowOff>171450</xdr:rowOff>
    </xdr:to>
    <xdr:graphicFrame macro="">
      <xdr:nvGraphicFramePr>
        <xdr:cNvPr id="4" name="Chart 3">
          <a:extLst>
            <a:ext uri="{FF2B5EF4-FFF2-40B4-BE49-F238E27FC236}">
              <a16:creationId xmlns:a16="http://schemas.microsoft.com/office/drawing/2014/main" id="{4973356D-6BF1-D1D3-6C24-D84BAE5CB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228600</xdr:colOff>
      <xdr:row>15</xdr:row>
      <xdr:rowOff>52995</xdr:rowOff>
    </xdr:from>
    <xdr:to>
      <xdr:col>25</xdr:col>
      <xdr:colOff>545869</xdr:colOff>
      <xdr:row>30</xdr:row>
      <xdr:rowOff>52994</xdr:rowOff>
    </xdr:to>
    <xdr:graphicFrame macro="">
      <xdr:nvGraphicFramePr>
        <xdr:cNvPr id="5" name="Chart 4">
          <a:extLst>
            <a:ext uri="{FF2B5EF4-FFF2-40B4-BE49-F238E27FC236}">
              <a16:creationId xmlns:a16="http://schemas.microsoft.com/office/drawing/2014/main" id="{C9C616EB-17F8-8053-24BB-86122B476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576942</xdr:colOff>
      <xdr:row>1</xdr:row>
      <xdr:rowOff>58783</xdr:rowOff>
    </xdr:from>
    <xdr:to>
      <xdr:col>24</xdr:col>
      <xdr:colOff>576942</xdr:colOff>
      <xdr:row>15</xdr:row>
      <xdr:rowOff>49258</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F3960EF8-5FB5-7EB3-4A39-0AD387CF62A5}"/>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9737778" y="238892"/>
              <a:ext cx="1828800" cy="2512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588917</xdr:colOff>
      <xdr:row>1</xdr:row>
      <xdr:rowOff>125186</xdr:rowOff>
    </xdr:from>
    <xdr:to>
      <xdr:col>21</xdr:col>
      <xdr:colOff>239486</xdr:colOff>
      <xdr:row>5</xdr:row>
      <xdr:rowOff>104957</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77E6574-36F8-6997-66E8-479095E0CB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701753" y="305295"/>
              <a:ext cx="2698569" cy="700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296091</xdr:colOff>
      <xdr:row>1</xdr:row>
      <xdr:rowOff>60961</xdr:rowOff>
    </xdr:from>
    <xdr:to>
      <xdr:col>16</xdr:col>
      <xdr:colOff>296091</xdr:colOff>
      <xdr:row>15</xdr:row>
      <xdr:rowOff>51436</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6EC4293D-2AF8-EE38-5825-34B09825298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580127" y="241070"/>
              <a:ext cx="1828800" cy="2512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ger Samuel" refreshedDate="45768.133120949075" createdVersion="8" refreshedVersion="8" minRefreshableVersion="3" recordCount="50" xr:uid="{F8984FD1-341B-42ED-9822-D149C0439991}">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ount="40">
        <n v="84"/>
        <n v="128"/>
        <n v="136"/>
        <n v="91"/>
        <n v="110"/>
        <n v="51"/>
        <n v="78"/>
        <n v="146"/>
        <n v="101"/>
        <n v="52"/>
        <n v="55"/>
        <n v="137"/>
        <n v="96"/>
        <n v="76"/>
        <n v="145"/>
        <n v="83"/>
        <n v="108"/>
        <n v="144"/>
        <n v="92"/>
        <n v="71"/>
        <n v="103"/>
        <n v="93"/>
        <n v="143"/>
        <n v="99"/>
        <n v="120"/>
        <n v="66"/>
        <n v="88"/>
        <n v="127"/>
        <n v="67"/>
        <n v="149"/>
        <n v="104"/>
        <n v="57"/>
        <n v="90"/>
        <n v="69"/>
        <n v="59"/>
        <n v="109"/>
        <n v="61"/>
        <n v="130"/>
        <n v="60"/>
        <n v="73"/>
      </sharedItems>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541968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x v="0"/>
    <n v="6000"/>
    <n v="4000"/>
    <n v="504000"/>
    <n v="168000"/>
  </r>
  <r>
    <d v="2021-09-07T00:00:00"/>
    <x v="1"/>
    <x v="1"/>
    <x v="1"/>
    <x v="1"/>
    <n v="3500"/>
    <n v="2500"/>
    <n v="448000"/>
    <n v="128000"/>
  </r>
  <r>
    <d v="2021-02-03T00:00:00"/>
    <x v="2"/>
    <x v="2"/>
    <x v="2"/>
    <x v="2"/>
    <n v="1200"/>
    <n v="800"/>
    <n v="163200"/>
    <n v="54400"/>
  </r>
  <r>
    <d v="2020-09-11T00:00:00"/>
    <x v="3"/>
    <x v="3"/>
    <x v="3"/>
    <x v="3"/>
    <n v="1000"/>
    <n v="700"/>
    <n v="91000"/>
    <n v="27300"/>
  </r>
  <r>
    <d v="2021-09-23T00:00:00"/>
    <x v="4"/>
    <x v="0"/>
    <x v="4"/>
    <x v="4"/>
    <n v="4000"/>
    <n v="3000"/>
    <n v="440000"/>
    <n v="110000"/>
  </r>
  <r>
    <d v="2020-10-01T00:00:00"/>
    <x v="5"/>
    <x v="1"/>
    <x v="2"/>
    <x v="5"/>
    <n v="1200"/>
    <n v="800"/>
    <n v="61200"/>
    <n v="20400"/>
  </r>
  <r>
    <d v="2021-08-05T00:00:00"/>
    <x v="6"/>
    <x v="3"/>
    <x v="3"/>
    <x v="6"/>
    <n v="1000"/>
    <n v="700"/>
    <n v="78000"/>
    <n v="23400"/>
  </r>
  <r>
    <d v="2020-11-06T00:00:00"/>
    <x v="7"/>
    <x v="2"/>
    <x v="0"/>
    <x v="7"/>
    <n v="6000"/>
    <n v="4000"/>
    <n v="876000"/>
    <n v="292000"/>
  </r>
  <r>
    <d v="2021-01-27T00:00:00"/>
    <x v="8"/>
    <x v="0"/>
    <x v="5"/>
    <x v="8"/>
    <n v="600"/>
    <n v="400"/>
    <n v="60600"/>
    <n v="20200"/>
  </r>
  <r>
    <d v="2021-09-03T00:00:00"/>
    <x v="9"/>
    <x v="2"/>
    <x v="0"/>
    <x v="9"/>
    <n v="6000"/>
    <n v="4000"/>
    <n v="312000"/>
    <n v="104000"/>
  </r>
  <r>
    <d v="2021-09-30T00:00:00"/>
    <x v="9"/>
    <x v="1"/>
    <x v="2"/>
    <x v="10"/>
    <n v="1200"/>
    <n v="800"/>
    <n v="66000"/>
    <n v="22000"/>
  </r>
  <r>
    <d v="2020-09-10T00:00:00"/>
    <x v="9"/>
    <x v="2"/>
    <x v="3"/>
    <x v="11"/>
    <n v="1000"/>
    <n v="700"/>
    <n v="137000"/>
    <n v="41100"/>
  </r>
  <r>
    <d v="2021-07-27T00:00:00"/>
    <x v="7"/>
    <x v="2"/>
    <x v="1"/>
    <x v="12"/>
    <n v="3500"/>
    <n v="2500"/>
    <n v="336000"/>
    <n v="96000"/>
  </r>
  <r>
    <d v="2020-10-09T00:00:00"/>
    <x v="8"/>
    <x v="1"/>
    <x v="4"/>
    <x v="9"/>
    <n v="4000"/>
    <n v="3000"/>
    <n v="208000"/>
    <n v="52000"/>
  </r>
  <r>
    <d v="2021-04-06T00:00:00"/>
    <x v="3"/>
    <x v="0"/>
    <x v="1"/>
    <x v="13"/>
    <n v="3500"/>
    <n v="2500"/>
    <n v="266000"/>
    <n v="76000"/>
  </r>
  <r>
    <d v="2021-06-15T00:00:00"/>
    <x v="1"/>
    <x v="3"/>
    <x v="4"/>
    <x v="14"/>
    <n v="4000"/>
    <n v="3000"/>
    <n v="580000"/>
    <n v="145000"/>
  </r>
  <r>
    <d v="2020-09-09T00:00:00"/>
    <x v="0"/>
    <x v="2"/>
    <x v="5"/>
    <x v="15"/>
    <n v="600"/>
    <n v="400"/>
    <n v="49800"/>
    <n v="16600"/>
  </r>
  <r>
    <d v="2021-08-13T00:00:00"/>
    <x v="4"/>
    <x v="2"/>
    <x v="3"/>
    <x v="3"/>
    <n v="1000"/>
    <n v="700"/>
    <n v="91000"/>
    <n v="27300"/>
  </r>
  <r>
    <d v="2020-08-27T00:00:00"/>
    <x v="5"/>
    <x v="0"/>
    <x v="6"/>
    <x v="16"/>
    <n v="10000"/>
    <n v="7000"/>
    <n v="1080000"/>
    <n v="324000"/>
  </r>
  <r>
    <d v="2021-04-07T00:00:00"/>
    <x v="2"/>
    <x v="3"/>
    <x v="4"/>
    <x v="17"/>
    <n v="4000"/>
    <n v="3000"/>
    <n v="576000"/>
    <n v="144000"/>
  </r>
  <r>
    <d v="2020-06-08T00:00:00"/>
    <x v="4"/>
    <x v="2"/>
    <x v="5"/>
    <x v="18"/>
    <n v="600"/>
    <n v="400"/>
    <n v="55200"/>
    <n v="18400"/>
  </r>
  <r>
    <d v="2021-12-21T00:00:00"/>
    <x v="7"/>
    <x v="0"/>
    <x v="0"/>
    <x v="19"/>
    <n v="6000"/>
    <n v="4000"/>
    <n v="426000"/>
    <n v="142000"/>
  </r>
  <r>
    <d v="2021-08-10T00:00:00"/>
    <x v="0"/>
    <x v="1"/>
    <x v="5"/>
    <x v="20"/>
    <n v="600"/>
    <n v="400"/>
    <n v="61800"/>
    <n v="20600"/>
  </r>
  <r>
    <d v="2021-12-02T00:00:00"/>
    <x v="9"/>
    <x v="3"/>
    <x v="3"/>
    <x v="10"/>
    <n v="1000"/>
    <n v="700"/>
    <n v="55000"/>
    <n v="16500"/>
  </r>
  <r>
    <d v="2021-08-30T00:00:00"/>
    <x v="5"/>
    <x v="1"/>
    <x v="4"/>
    <x v="21"/>
    <n v="4000"/>
    <n v="3000"/>
    <n v="372000"/>
    <n v="93000"/>
  </r>
  <r>
    <d v="2020-05-20T00:00:00"/>
    <x v="2"/>
    <x v="2"/>
    <x v="5"/>
    <x v="22"/>
    <n v="600"/>
    <n v="400"/>
    <n v="85800"/>
    <n v="28600"/>
  </r>
  <r>
    <d v="2021-09-13T00:00:00"/>
    <x v="6"/>
    <x v="0"/>
    <x v="1"/>
    <x v="22"/>
    <n v="3500"/>
    <n v="2500"/>
    <n v="500500"/>
    <n v="143000"/>
  </r>
  <r>
    <d v="2021-10-27T00:00:00"/>
    <x v="8"/>
    <x v="3"/>
    <x v="5"/>
    <x v="23"/>
    <n v="600"/>
    <n v="400"/>
    <n v="59400"/>
    <n v="19800"/>
  </r>
  <r>
    <d v="2020-12-22T00:00:00"/>
    <x v="3"/>
    <x v="0"/>
    <x v="3"/>
    <x v="24"/>
    <n v="1000"/>
    <n v="700"/>
    <n v="120000"/>
    <n v="36000"/>
  </r>
  <r>
    <d v="2021-07-28T00:00:00"/>
    <x v="1"/>
    <x v="2"/>
    <x v="1"/>
    <x v="25"/>
    <n v="3500"/>
    <n v="2500"/>
    <n v="231000"/>
    <n v="66000"/>
  </r>
  <r>
    <d v="2020-09-29T00:00:00"/>
    <x v="8"/>
    <x v="3"/>
    <x v="2"/>
    <x v="26"/>
    <n v="1200"/>
    <n v="800"/>
    <n v="105600"/>
    <n v="35200"/>
  </r>
  <r>
    <d v="2020-10-22T00:00:00"/>
    <x v="3"/>
    <x v="1"/>
    <x v="6"/>
    <x v="27"/>
    <n v="10000"/>
    <n v="7000"/>
    <n v="1270000"/>
    <n v="381000"/>
  </r>
  <r>
    <d v="2020-05-19T00:00:00"/>
    <x v="4"/>
    <x v="0"/>
    <x v="4"/>
    <x v="28"/>
    <n v="4000"/>
    <n v="3000"/>
    <n v="268000"/>
    <n v="67000"/>
  </r>
  <r>
    <d v="2021-12-06T00:00:00"/>
    <x v="1"/>
    <x v="1"/>
    <x v="2"/>
    <x v="28"/>
    <n v="1200"/>
    <n v="800"/>
    <n v="80400"/>
    <n v="26800"/>
  </r>
  <r>
    <d v="2020-08-26T00:00:00"/>
    <x v="9"/>
    <x v="2"/>
    <x v="3"/>
    <x v="29"/>
    <n v="1000"/>
    <n v="700"/>
    <n v="149000"/>
    <n v="44700"/>
  </r>
  <r>
    <d v="2021-07-01T00:00:00"/>
    <x v="4"/>
    <x v="3"/>
    <x v="5"/>
    <x v="30"/>
    <n v="600"/>
    <n v="400"/>
    <n v="62400"/>
    <n v="20800"/>
  </r>
  <r>
    <d v="2021-07-27T00:00:00"/>
    <x v="7"/>
    <x v="0"/>
    <x v="5"/>
    <x v="31"/>
    <n v="600"/>
    <n v="400"/>
    <n v="34200"/>
    <n v="11400"/>
  </r>
  <r>
    <d v="2020-10-05T00:00:00"/>
    <x v="2"/>
    <x v="1"/>
    <x v="5"/>
    <x v="32"/>
    <n v="600"/>
    <n v="400"/>
    <n v="54000"/>
    <n v="18000"/>
  </r>
  <r>
    <d v="2020-09-02T00:00:00"/>
    <x v="5"/>
    <x v="2"/>
    <x v="5"/>
    <x v="28"/>
    <n v="600"/>
    <n v="400"/>
    <n v="40200"/>
    <n v="13400"/>
  </r>
  <r>
    <d v="2021-09-02T00:00:00"/>
    <x v="0"/>
    <x v="3"/>
    <x v="4"/>
    <x v="27"/>
    <n v="4000"/>
    <n v="3000"/>
    <n v="508000"/>
    <n v="127000"/>
  </r>
  <r>
    <d v="2021-04-13T00:00:00"/>
    <x v="5"/>
    <x v="0"/>
    <x v="3"/>
    <x v="16"/>
    <n v="1000"/>
    <n v="700"/>
    <n v="108000"/>
    <n v="32400"/>
  </r>
  <r>
    <d v="2021-05-06T00:00:00"/>
    <x v="2"/>
    <x v="1"/>
    <x v="1"/>
    <x v="25"/>
    <n v="3500"/>
    <n v="2500"/>
    <n v="231000"/>
    <n v="66000"/>
  </r>
  <r>
    <d v="2021-01-15T00:00:00"/>
    <x v="0"/>
    <x v="3"/>
    <x v="0"/>
    <x v="6"/>
    <n v="6000"/>
    <n v="4000"/>
    <n v="468000"/>
    <n v="156000"/>
  </r>
  <r>
    <d v="2020-08-27T00:00:00"/>
    <x v="7"/>
    <x v="2"/>
    <x v="3"/>
    <x v="33"/>
    <n v="1000"/>
    <n v="700"/>
    <n v="69000"/>
    <n v="20700"/>
  </r>
  <r>
    <d v="2021-02-05T00:00:00"/>
    <x v="4"/>
    <x v="0"/>
    <x v="2"/>
    <x v="34"/>
    <n v="1200"/>
    <n v="800"/>
    <n v="70800"/>
    <n v="23600"/>
  </r>
  <r>
    <d v="2021-11-17T00:00:00"/>
    <x v="9"/>
    <x v="2"/>
    <x v="5"/>
    <x v="35"/>
    <n v="600"/>
    <n v="400"/>
    <n v="65400"/>
    <n v="21800"/>
  </r>
  <r>
    <d v="2020-12-28T00:00:00"/>
    <x v="8"/>
    <x v="1"/>
    <x v="4"/>
    <x v="36"/>
    <n v="4000"/>
    <n v="3000"/>
    <n v="244000"/>
    <n v="61000"/>
  </r>
  <r>
    <d v="2021-10-27T00:00:00"/>
    <x v="4"/>
    <x v="3"/>
    <x v="5"/>
    <x v="37"/>
    <n v="600"/>
    <n v="400"/>
    <n v="78000"/>
    <n v="26000"/>
  </r>
  <r>
    <d v="2021-11-02T00:00:00"/>
    <x v="3"/>
    <x v="2"/>
    <x v="1"/>
    <x v="38"/>
    <n v="3500"/>
    <n v="2500"/>
    <n v="210000"/>
    <n v="60000"/>
  </r>
  <r>
    <d v="2020-05-07T00:00:00"/>
    <x v="1"/>
    <x v="1"/>
    <x v="0"/>
    <x v="39"/>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937027-1150-42B3-8BA3-E8689B5C69E7}" name="PivotTable4"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L3:M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items count="41">
        <item x="5"/>
        <item x="9"/>
        <item x="10"/>
        <item x="31"/>
        <item x="34"/>
        <item x="38"/>
        <item x="36"/>
        <item x="25"/>
        <item x="28"/>
        <item x="33"/>
        <item x="19"/>
        <item x="39"/>
        <item x="13"/>
        <item x="6"/>
        <item x="15"/>
        <item x="0"/>
        <item x="26"/>
        <item x="32"/>
        <item x="3"/>
        <item x="18"/>
        <item x="21"/>
        <item x="12"/>
        <item x="23"/>
        <item x="8"/>
        <item x="20"/>
        <item x="30"/>
        <item x="16"/>
        <item x="35"/>
        <item x="4"/>
        <item x="24"/>
        <item x="27"/>
        <item x="1"/>
        <item x="37"/>
        <item x="2"/>
        <item x="11"/>
        <item x="22"/>
        <item x="17"/>
        <item x="14"/>
        <item x="7"/>
        <item x="29"/>
        <item t="default"/>
      </items>
    </pivotField>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4"/>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3A8AAB-6B1E-477A-BAEC-7BEFB63F5192}" name="PivotTable3"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H3:I14"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0" numFmtId="165"/>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4E5320-F831-4A29-A747-497F1B560178}" name="PivotTable2"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D3:E11"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0" numFmtId="165"/>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6"/>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519160-5792-4589-9193-1ED05F9B14EC}" name="PivotTable1" cacheId="9"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0" numFmtId="165"/>
  </dataFields>
  <formats count="2">
    <format dxfId="55">
      <pivotArea collapsedLevelsAreSubtotals="1" fieldPosition="0">
        <references count="1">
          <reference field="2" count="1">
            <x v="0"/>
          </reference>
        </references>
      </pivotArea>
    </format>
    <format dxfId="54">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A1152ED-1AC4-4BA8-8B5D-C30D835F526A}" sourceName="Sales Person">
  <pivotTables>
    <pivotTable tabId="5" name="PivotTable1"/>
    <pivotTable tabId="5" name="PivotTable2"/>
    <pivotTable tabId="5" name="PivotTable3"/>
    <pivotTable tabId="5" name="PivotTable4"/>
  </pivotTables>
  <data>
    <tabular pivotCacheId="541968225">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B6B10B6-A7FE-4B13-A6BF-A1AB6F705588}" sourceName="Region">
  <pivotTables>
    <pivotTable tabId="5" name="PivotTable1"/>
    <pivotTable tabId="5" name="PivotTable2"/>
    <pivotTable tabId="5" name="PivotTable3"/>
    <pivotTable tabId="5" name="PivotTable4"/>
  </pivotTables>
  <data>
    <tabular pivotCacheId="541968225">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DF0A269-68E8-4AF4-A45F-24AAA5E6E103}" sourceName="Product">
  <pivotTables>
    <pivotTable tabId="5" name="PivotTable1"/>
    <pivotTable tabId="5" name="PivotTable2"/>
    <pivotTable tabId="5" name="PivotTable3"/>
    <pivotTable tabId="5" name="PivotTable4"/>
  </pivotTables>
  <data>
    <tabular pivotCacheId="541968225">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F86FAC21-535B-459E-B7D9-2DBB308C61AC}" cache="Slicer_Sales_Person" caption="Sales Person" style="SlicerStyleDark1" rowHeight="247650"/>
  <slicer name="Region 1" xr10:uid="{2CE5F42C-760B-4854-A188-E167B4A2B98A}" cache="Slicer_Region" caption="Region" columnCount="2" showCaption="0" style="SlicerStyleDark1" rowHeight="252000"/>
  <slicer name="Product 1" xr10:uid="{41C1A03A-35C1-4331-BB8E-2058FDEA7347}" cache="Slicer_Product" caption="Product"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E5BF0AA0-C951-4BAE-BCBD-84AACB432363}" cache="Slicer_Sales_Person" caption="Sales Person" rowHeight="247650"/>
  <slicer name="Region" xr10:uid="{DF048E19-E896-4409-9260-14042F1764D7}" cache="Slicer_Region" caption="Region" columnCount="2" showCaption="0" rowHeight="252000"/>
  <slicer name="Product" xr10:uid="{4DA7BFC2-6470-4C63-A893-FD6B5AAD2C88}"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CEF4B2-E9E1-4172-A926-B4CA8814BDE3}" name="Table1" displayName="Table1" ref="A1:I51" totalsRowShown="0" headerRowDxfId="56" dataDxfId="57" dataCellStyle="Currency [0]">
  <autoFilter ref="A1:I51" xr:uid="{93CEF4B2-E9E1-4172-A926-B4CA8814BDE3}"/>
  <tableColumns count="9">
    <tableColumn id="1" xr3:uid="{2F32D25B-A04B-4329-B635-EDFF7C1CC136}" name="Date" dataDxfId="63"/>
    <tableColumn id="2" xr3:uid="{049CF0B7-0420-42D1-8EC1-42855C5583DA}" name="Sales Person"/>
    <tableColumn id="3" xr3:uid="{1F30E963-EABE-4FF1-8B02-05DA9A56568E}" name="Region"/>
    <tableColumn id="4" xr3:uid="{F3192F72-9F9B-4FB3-921D-1F851DCA367D}" name="Product"/>
    <tableColumn id="5" xr3:uid="{970E1D7E-92BE-4192-8971-FD380B561801}" name="Units Sold" dataDxfId="62"/>
    <tableColumn id="6" xr3:uid="{B9E233E7-1801-4B90-B383-A74714DA2A74}" name="Unit Price" dataDxfId="61" dataCellStyle="Currency [0]">
      <calculatedColumnFormula>IF(D2="Tent",6000,IF(D2="Blender",3500,IF(D2="Action Figure",1200,IF(D2="Novel",1000,IF(D2="Sneakers",4000,IF(D2="Smartphone",10000,IF(D2="moisturizer",600,"No Product Found")))))))</calculatedColumnFormula>
    </tableColumn>
    <tableColumn id="7" xr3:uid="{0C2F2C3B-D920-462E-B61E-553E6DCEAA51}" name="Cost of Goods" dataDxfId="60" dataCellStyle="Currency [0]">
      <calculatedColumnFormula>IF(D2="Tent",4000,IF(D2="Blender",2500,IF(D2="Action Figure",800,IF(D2="Novel",700,IF(D2="Sneakers",3000,IF(D2="Smartphone",7000,IF(D2="moisturizer",400,"No Product Found")))))))</calculatedColumnFormula>
    </tableColumn>
    <tableColumn id="8" xr3:uid="{ED26E955-C682-4BBE-93B3-F4F7604DAF86}" name="Total Sales" dataDxfId="59" dataCellStyle="Currency [0]">
      <calculatedColumnFormula>F2*E2</calculatedColumnFormula>
    </tableColumn>
    <tableColumn id="9" xr3:uid="{B18EE8F9-93DB-4C77-9207-D2997B49E576}" name="Profit" dataDxfId="58">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53ADC-DEC8-4F91-97A4-6AEA38B34C07}">
  <dimension ref="F7"/>
  <sheetViews>
    <sheetView tabSelected="1" topLeftCell="A11" zoomScale="70" zoomScaleNormal="70" workbookViewId="0">
      <selection activeCell="AA29" sqref="AA29"/>
    </sheetView>
  </sheetViews>
  <sheetFormatPr defaultRowHeight="14.4" x14ac:dyDescent="0.3"/>
  <sheetData>
    <row r="7" spans="6:6" x14ac:dyDescent="0.3">
      <c r="F7"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workbookViewId="0">
      <selection activeCell="K4" sqref="K4"/>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5" t="s">
        <v>29</v>
      </c>
      <c r="K1" s="5"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K2" s="6">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F3*E3</f>
        <v>448000</v>
      </c>
      <c r="I3" s="6">
        <f t="shared" ref="I3:I51" si="2">H3-(G3*E3)</f>
        <v>128000</v>
      </c>
      <c r="K3" s="5" t="s">
        <v>31</v>
      </c>
    </row>
    <row r="4" spans="1:11" x14ac:dyDescent="0.3">
      <c r="A4" s="2">
        <v>44230</v>
      </c>
      <c r="B4" t="s">
        <v>14</v>
      </c>
      <c r="C4" t="s">
        <v>15</v>
      </c>
      <c r="D4" t="s">
        <v>16</v>
      </c>
      <c r="E4" s="3">
        <v>136</v>
      </c>
      <c r="F4" s="4">
        <f t="shared" si="0"/>
        <v>1200</v>
      </c>
      <c r="G4" s="4">
        <f t="shared" si="1"/>
        <v>800</v>
      </c>
      <c r="H4" s="4">
        <f t="shared" ref="H3:H51" si="3">F4*E4</f>
        <v>163200</v>
      </c>
      <c r="I4" s="6">
        <f t="shared" si="2"/>
        <v>54400</v>
      </c>
      <c r="K4">
        <f>SUM(E2:E51)</f>
        <v>4705</v>
      </c>
    </row>
    <row r="5" spans="1:11" x14ac:dyDescent="0.3">
      <c r="A5" s="2">
        <v>44085</v>
      </c>
      <c r="B5" t="s">
        <v>17</v>
      </c>
      <c r="C5" t="s">
        <v>18</v>
      </c>
      <c r="D5" t="s">
        <v>19</v>
      </c>
      <c r="E5" s="3">
        <v>91</v>
      </c>
      <c r="F5" s="4">
        <f t="shared" si="0"/>
        <v>1000</v>
      </c>
      <c r="G5" s="4">
        <f t="shared" si="1"/>
        <v>700</v>
      </c>
      <c r="H5" s="4">
        <f t="shared" si="3"/>
        <v>91000</v>
      </c>
      <c r="I5" s="6">
        <f t="shared" si="2"/>
        <v>27300</v>
      </c>
      <c r="K5" s="5" t="s">
        <v>32</v>
      </c>
    </row>
    <row r="6" spans="1:11" x14ac:dyDescent="0.3">
      <c r="A6" s="2">
        <v>44462</v>
      </c>
      <c r="B6" t="s">
        <v>20</v>
      </c>
      <c r="C6" t="s">
        <v>9</v>
      </c>
      <c r="D6" t="s">
        <v>21</v>
      </c>
      <c r="E6" s="3">
        <v>110</v>
      </c>
      <c r="F6" s="4">
        <f t="shared" si="0"/>
        <v>4000</v>
      </c>
      <c r="G6" s="4">
        <f t="shared" si="1"/>
        <v>3000</v>
      </c>
      <c r="H6" s="4">
        <f t="shared" si="3"/>
        <v>440000</v>
      </c>
      <c r="I6" s="6">
        <f t="shared" si="2"/>
        <v>110000</v>
      </c>
      <c r="K6" s="6">
        <f>SUM(I2:I51)</f>
        <v>3834400</v>
      </c>
    </row>
    <row r="7" spans="1:11" x14ac:dyDescent="0.3">
      <c r="A7" s="2">
        <v>44105</v>
      </c>
      <c r="B7" t="s">
        <v>22</v>
      </c>
      <c r="C7" t="s">
        <v>12</v>
      </c>
      <c r="D7" t="s">
        <v>16</v>
      </c>
      <c r="E7" s="3">
        <v>51</v>
      </c>
      <c r="F7" s="4">
        <f t="shared" si="0"/>
        <v>1200</v>
      </c>
      <c r="G7" s="4">
        <f t="shared" si="1"/>
        <v>800</v>
      </c>
      <c r="H7" s="4">
        <f t="shared" si="3"/>
        <v>61200</v>
      </c>
      <c r="I7" s="6">
        <f t="shared" si="2"/>
        <v>20400</v>
      </c>
      <c r="K7" s="5" t="s">
        <v>33</v>
      </c>
    </row>
    <row r="8" spans="1:11" x14ac:dyDescent="0.3">
      <c r="A8" s="2">
        <v>44413</v>
      </c>
      <c r="B8" t="s">
        <v>23</v>
      </c>
      <c r="C8" t="s">
        <v>18</v>
      </c>
      <c r="D8" t="s">
        <v>19</v>
      </c>
      <c r="E8" s="3">
        <v>78</v>
      </c>
      <c r="F8" s="4">
        <f t="shared" si="0"/>
        <v>1000</v>
      </c>
      <c r="G8" s="4">
        <f t="shared" si="1"/>
        <v>700</v>
      </c>
      <c r="H8" s="4">
        <f t="shared" si="3"/>
        <v>78000</v>
      </c>
      <c r="I8" s="6">
        <f t="shared" si="2"/>
        <v>23400</v>
      </c>
      <c r="K8" s="6">
        <f>AVERAGE(H2:H51)</f>
        <v>258890</v>
      </c>
    </row>
    <row r="9" spans="1:11" x14ac:dyDescent="0.3">
      <c r="A9" s="2">
        <v>44141</v>
      </c>
      <c r="B9" t="s">
        <v>24</v>
      </c>
      <c r="C9" t="s">
        <v>15</v>
      </c>
      <c r="D9" t="s">
        <v>10</v>
      </c>
      <c r="E9" s="3">
        <v>146</v>
      </c>
      <c r="F9" s="4">
        <f t="shared" si="0"/>
        <v>6000</v>
      </c>
      <c r="G9" s="4">
        <f t="shared" si="1"/>
        <v>4000</v>
      </c>
      <c r="H9" s="4">
        <f t="shared" si="3"/>
        <v>876000</v>
      </c>
      <c r="I9" s="6">
        <f t="shared" si="2"/>
        <v>292000</v>
      </c>
    </row>
    <row r="10" spans="1:11" x14ac:dyDescent="0.3">
      <c r="A10" s="2">
        <v>44223</v>
      </c>
      <c r="B10" t="s">
        <v>25</v>
      </c>
      <c r="C10" t="s">
        <v>9</v>
      </c>
      <c r="D10" t="s">
        <v>26</v>
      </c>
      <c r="E10" s="3">
        <v>101</v>
      </c>
      <c r="F10" s="4">
        <f t="shared" si="0"/>
        <v>600</v>
      </c>
      <c r="G10" s="4">
        <f t="shared" si="1"/>
        <v>400</v>
      </c>
      <c r="H10" s="4">
        <f t="shared" si="3"/>
        <v>60600</v>
      </c>
      <c r="I10" s="6">
        <f t="shared" si="2"/>
        <v>20200</v>
      </c>
    </row>
    <row r="11" spans="1:11" x14ac:dyDescent="0.3">
      <c r="A11" s="2">
        <v>44442</v>
      </c>
      <c r="B11" t="s">
        <v>27</v>
      </c>
      <c r="C11" t="s">
        <v>15</v>
      </c>
      <c r="D11" t="s">
        <v>10</v>
      </c>
      <c r="E11" s="3">
        <v>52</v>
      </c>
      <c r="F11" s="4">
        <f t="shared" si="0"/>
        <v>6000</v>
      </c>
      <c r="G11" s="4">
        <f t="shared" si="1"/>
        <v>4000</v>
      </c>
      <c r="H11" s="4">
        <f t="shared" si="3"/>
        <v>312000</v>
      </c>
      <c r="I11" s="6">
        <f t="shared" si="2"/>
        <v>104000</v>
      </c>
    </row>
    <row r="12" spans="1:11" x14ac:dyDescent="0.3">
      <c r="A12" s="2">
        <v>44469</v>
      </c>
      <c r="B12" t="s">
        <v>27</v>
      </c>
      <c r="C12" t="s">
        <v>12</v>
      </c>
      <c r="D12" t="s">
        <v>16</v>
      </c>
      <c r="E12" s="3">
        <v>55</v>
      </c>
      <c r="F12" s="4">
        <f t="shared" si="0"/>
        <v>1200</v>
      </c>
      <c r="G12" s="4">
        <f t="shared" si="1"/>
        <v>800</v>
      </c>
      <c r="H12" s="4">
        <f t="shared" si="3"/>
        <v>66000</v>
      </c>
      <c r="I12" s="6">
        <f t="shared" si="2"/>
        <v>22000</v>
      </c>
    </row>
    <row r="13" spans="1:11" x14ac:dyDescent="0.3">
      <c r="A13" s="2">
        <v>44084</v>
      </c>
      <c r="B13" t="s">
        <v>27</v>
      </c>
      <c r="C13" t="s">
        <v>15</v>
      </c>
      <c r="D13" t="s">
        <v>19</v>
      </c>
      <c r="E13" s="3">
        <v>137</v>
      </c>
      <c r="F13" s="4">
        <f t="shared" si="0"/>
        <v>1000</v>
      </c>
      <c r="G13" s="4">
        <f t="shared" si="1"/>
        <v>700</v>
      </c>
      <c r="H13" s="4">
        <f t="shared" si="3"/>
        <v>137000</v>
      </c>
      <c r="I13" s="6">
        <f t="shared" si="2"/>
        <v>41100</v>
      </c>
    </row>
    <row r="14" spans="1:11" x14ac:dyDescent="0.3">
      <c r="A14" s="2">
        <v>44404</v>
      </c>
      <c r="B14" t="s">
        <v>24</v>
      </c>
      <c r="C14" t="s">
        <v>15</v>
      </c>
      <c r="D14" t="s">
        <v>13</v>
      </c>
      <c r="E14" s="3">
        <v>96</v>
      </c>
      <c r="F14" s="4">
        <f t="shared" si="0"/>
        <v>3500</v>
      </c>
      <c r="G14" s="4">
        <f t="shared" si="1"/>
        <v>2500</v>
      </c>
      <c r="H14" s="4">
        <f t="shared" si="3"/>
        <v>336000</v>
      </c>
      <c r="I14" s="6">
        <f t="shared" si="2"/>
        <v>96000</v>
      </c>
    </row>
    <row r="15" spans="1:11" x14ac:dyDescent="0.3">
      <c r="A15" s="2">
        <v>44113</v>
      </c>
      <c r="B15" t="s">
        <v>25</v>
      </c>
      <c r="C15" t="s">
        <v>12</v>
      </c>
      <c r="D15" t="s">
        <v>21</v>
      </c>
      <c r="E15" s="3">
        <v>52</v>
      </c>
      <c r="F15" s="4">
        <f t="shared" si="0"/>
        <v>4000</v>
      </c>
      <c r="G15" s="4">
        <f t="shared" si="1"/>
        <v>3000</v>
      </c>
      <c r="H15" s="4">
        <f t="shared" si="3"/>
        <v>208000</v>
      </c>
      <c r="I15" s="6">
        <f t="shared" si="2"/>
        <v>52000</v>
      </c>
    </row>
    <row r="16" spans="1:11" x14ac:dyDescent="0.3">
      <c r="A16" s="2">
        <v>44292</v>
      </c>
      <c r="B16" t="s">
        <v>17</v>
      </c>
      <c r="C16" t="s">
        <v>9</v>
      </c>
      <c r="D16" t="s">
        <v>13</v>
      </c>
      <c r="E16" s="3">
        <v>76</v>
      </c>
      <c r="F16" s="4">
        <f t="shared" si="0"/>
        <v>3500</v>
      </c>
      <c r="G16" s="4">
        <f t="shared" si="1"/>
        <v>2500</v>
      </c>
      <c r="H16" s="4">
        <f t="shared" si="3"/>
        <v>266000</v>
      </c>
      <c r="I16" s="6">
        <f t="shared" si="2"/>
        <v>76000</v>
      </c>
    </row>
    <row r="17" spans="1:9" x14ac:dyDescent="0.3">
      <c r="A17" s="2">
        <v>44362</v>
      </c>
      <c r="B17" t="s">
        <v>11</v>
      </c>
      <c r="C17" t="s">
        <v>18</v>
      </c>
      <c r="D17" t="s">
        <v>21</v>
      </c>
      <c r="E17" s="3">
        <v>145</v>
      </c>
      <c r="F17" s="4">
        <f t="shared" si="0"/>
        <v>4000</v>
      </c>
      <c r="G17" s="4">
        <f t="shared" si="1"/>
        <v>3000</v>
      </c>
      <c r="H17" s="4">
        <f t="shared" si="3"/>
        <v>580000</v>
      </c>
      <c r="I17" s="6">
        <f t="shared" si="2"/>
        <v>145000</v>
      </c>
    </row>
    <row r="18" spans="1:9" x14ac:dyDescent="0.3">
      <c r="A18" s="2">
        <v>44083</v>
      </c>
      <c r="B18" t="s">
        <v>8</v>
      </c>
      <c r="C18" t="s">
        <v>15</v>
      </c>
      <c r="D18" t="s">
        <v>26</v>
      </c>
      <c r="E18" s="3">
        <v>83</v>
      </c>
      <c r="F18" s="4">
        <f t="shared" si="0"/>
        <v>600</v>
      </c>
      <c r="G18" s="4">
        <f t="shared" si="1"/>
        <v>400</v>
      </c>
      <c r="H18" s="4">
        <f t="shared" si="3"/>
        <v>49800</v>
      </c>
      <c r="I18" s="6">
        <f t="shared" si="2"/>
        <v>16600</v>
      </c>
    </row>
    <row r="19" spans="1:9" x14ac:dyDescent="0.3">
      <c r="A19" s="2">
        <v>44421</v>
      </c>
      <c r="B19" t="s">
        <v>20</v>
      </c>
      <c r="C19" t="s">
        <v>15</v>
      </c>
      <c r="D19" t="s">
        <v>19</v>
      </c>
      <c r="E19" s="3">
        <v>91</v>
      </c>
      <c r="F19" s="4">
        <f t="shared" si="0"/>
        <v>1000</v>
      </c>
      <c r="G19" s="4">
        <f t="shared" si="1"/>
        <v>700</v>
      </c>
      <c r="H19" s="4">
        <f t="shared" si="3"/>
        <v>91000</v>
      </c>
      <c r="I19" s="6">
        <f t="shared" si="2"/>
        <v>27300</v>
      </c>
    </row>
    <row r="20" spans="1:9" x14ac:dyDescent="0.3">
      <c r="A20" s="2">
        <v>44070</v>
      </c>
      <c r="B20" t="s">
        <v>22</v>
      </c>
      <c r="C20" t="s">
        <v>9</v>
      </c>
      <c r="D20" t="s">
        <v>28</v>
      </c>
      <c r="E20" s="3">
        <v>108</v>
      </c>
      <c r="F20" s="4">
        <f t="shared" si="0"/>
        <v>10000</v>
      </c>
      <c r="G20" s="4">
        <f t="shared" si="1"/>
        <v>7000</v>
      </c>
      <c r="H20" s="4">
        <f t="shared" si="3"/>
        <v>1080000</v>
      </c>
      <c r="I20" s="6">
        <f t="shared" si="2"/>
        <v>324000</v>
      </c>
    </row>
    <row r="21" spans="1:9" x14ac:dyDescent="0.3">
      <c r="A21" s="2">
        <v>44293</v>
      </c>
      <c r="B21" t="s">
        <v>14</v>
      </c>
      <c r="C21" t="s">
        <v>18</v>
      </c>
      <c r="D21" t="s">
        <v>21</v>
      </c>
      <c r="E21" s="3">
        <v>144</v>
      </c>
      <c r="F21" s="4">
        <f t="shared" si="0"/>
        <v>4000</v>
      </c>
      <c r="G21" s="4">
        <f t="shared" si="1"/>
        <v>3000</v>
      </c>
      <c r="H21" s="4">
        <f t="shared" si="3"/>
        <v>576000</v>
      </c>
      <c r="I21" s="6">
        <f t="shared" si="2"/>
        <v>144000</v>
      </c>
    </row>
    <row r="22" spans="1:9" x14ac:dyDescent="0.3">
      <c r="A22" s="2">
        <v>43990</v>
      </c>
      <c r="B22" t="s">
        <v>20</v>
      </c>
      <c r="C22" t="s">
        <v>15</v>
      </c>
      <c r="D22" t="s">
        <v>26</v>
      </c>
      <c r="E22" s="3">
        <v>92</v>
      </c>
      <c r="F22" s="4">
        <f t="shared" si="0"/>
        <v>600</v>
      </c>
      <c r="G22" s="4">
        <f t="shared" si="1"/>
        <v>400</v>
      </c>
      <c r="H22" s="4">
        <f t="shared" si="3"/>
        <v>55200</v>
      </c>
      <c r="I22" s="6">
        <f t="shared" si="2"/>
        <v>18400</v>
      </c>
    </row>
    <row r="23" spans="1:9" x14ac:dyDescent="0.3">
      <c r="A23" s="2">
        <v>44551</v>
      </c>
      <c r="B23" t="s">
        <v>24</v>
      </c>
      <c r="C23" t="s">
        <v>9</v>
      </c>
      <c r="D23" t="s">
        <v>10</v>
      </c>
      <c r="E23" s="3">
        <v>71</v>
      </c>
      <c r="F23" s="4">
        <f t="shared" si="0"/>
        <v>6000</v>
      </c>
      <c r="G23" s="4">
        <f t="shared" si="1"/>
        <v>4000</v>
      </c>
      <c r="H23" s="4">
        <f t="shared" si="3"/>
        <v>426000</v>
      </c>
      <c r="I23" s="6">
        <f t="shared" si="2"/>
        <v>142000</v>
      </c>
    </row>
    <row r="24" spans="1:9" x14ac:dyDescent="0.3">
      <c r="A24" s="2">
        <v>44418</v>
      </c>
      <c r="B24" t="s">
        <v>8</v>
      </c>
      <c r="C24" t="s">
        <v>12</v>
      </c>
      <c r="D24" t="s">
        <v>26</v>
      </c>
      <c r="E24" s="3">
        <v>103</v>
      </c>
      <c r="F24" s="4">
        <f t="shared" si="0"/>
        <v>600</v>
      </c>
      <c r="G24" s="4">
        <f t="shared" si="1"/>
        <v>400</v>
      </c>
      <c r="H24" s="4">
        <f t="shared" si="3"/>
        <v>61800</v>
      </c>
      <c r="I24" s="6">
        <f t="shared" si="2"/>
        <v>20600</v>
      </c>
    </row>
    <row r="25" spans="1:9" x14ac:dyDescent="0.3">
      <c r="A25" s="2">
        <v>44532</v>
      </c>
      <c r="B25" t="s">
        <v>27</v>
      </c>
      <c r="C25" t="s">
        <v>18</v>
      </c>
      <c r="D25" t="s">
        <v>19</v>
      </c>
      <c r="E25" s="3">
        <v>55</v>
      </c>
      <c r="F25" s="4">
        <f t="shared" si="0"/>
        <v>1000</v>
      </c>
      <c r="G25" s="4">
        <f t="shared" si="1"/>
        <v>700</v>
      </c>
      <c r="H25" s="4">
        <f t="shared" si="3"/>
        <v>55000</v>
      </c>
      <c r="I25" s="6">
        <f t="shared" si="2"/>
        <v>16500</v>
      </c>
    </row>
    <row r="26" spans="1:9" x14ac:dyDescent="0.3">
      <c r="A26" s="2">
        <v>44438</v>
      </c>
      <c r="B26" t="s">
        <v>22</v>
      </c>
      <c r="C26" t="s">
        <v>12</v>
      </c>
      <c r="D26" t="s">
        <v>21</v>
      </c>
      <c r="E26" s="3">
        <v>93</v>
      </c>
      <c r="F26" s="4">
        <f t="shared" si="0"/>
        <v>4000</v>
      </c>
      <c r="G26" s="4">
        <f t="shared" si="1"/>
        <v>3000</v>
      </c>
      <c r="H26" s="4">
        <f t="shared" si="3"/>
        <v>372000</v>
      </c>
      <c r="I26" s="6">
        <f t="shared" si="2"/>
        <v>93000</v>
      </c>
    </row>
    <row r="27" spans="1:9" x14ac:dyDescent="0.3">
      <c r="A27" s="2">
        <v>43971</v>
      </c>
      <c r="B27" t="s">
        <v>14</v>
      </c>
      <c r="C27" t="s">
        <v>15</v>
      </c>
      <c r="D27" t="s">
        <v>26</v>
      </c>
      <c r="E27" s="3">
        <v>143</v>
      </c>
      <c r="F27" s="4">
        <f t="shared" si="0"/>
        <v>600</v>
      </c>
      <c r="G27" s="4">
        <f t="shared" si="1"/>
        <v>400</v>
      </c>
      <c r="H27" s="4">
        <f t="shared" si="3"/>
        <v>85800</v>
      </c>
      <c r="I27" s="6">
        <f t="shared" si="2"/>
        <v>28600</v>
      </c>
    </row>
    <row r="28" spans="1:9" x14ac:dyDescent="0.3">
      <c r="A28" s="2">
        <v>44452</v>
      </c>
      <c r="B28" t="s">
        <v>23</v>
      </c>
      <c r="C28" t="s">
        <v>9</v>
      </c>
      <c r="D28" t="s">
        <v>13</v>
      </c>
      <c r="E28" s="3">
        <v>143</v>
      </c>
      <c r="F28" s="4">
        <f t="shared" si="0"/>
        <v>3500</v>
      </c>
      <c r="G28" s="4">
        <f t="shared" si="1"/>
        <v>2500</v>
      </c>
      <c r="H28" s="4">
        <f t="shared" si="3"/>
        <v>500500</v>
      </c>
      <c r="I28" s="6">
        <f t="shared" si="2"/>
        <v>143000</v>
      </c>
    </row>
    <row r="29" spans="1:9" x14ac:dyDescent="0.3">
      <c r="A29" s="2">
        <v>44496</v>
      </c>
      <c r="B29" t="s">
        <v>25</v>
      </c>
      <c r="C29" t="s">
        <v>18</v>
      </c>
      <c r="D29" t="s">
        <v>26</v>
      </c>
      <c r="E29" s="3">
        <v>99</v>
      </c>
      <c r="F29" s="4">
        <f t="shared" si="0"/>
        <v>600</v>
      </c>
      <c r="G29" s="4">
        <f t="shared" si="1"/>
        <v>400</v>
      </c>
      <c r="H29" s="4">
        <f t="shared" si="3"/>
        <v>59400</v>
      </c>
      <c r="I29" s="6">
        <f t="shared" si="2"/>
        <v>19800</v>
      </c>
    </row>
    <row r="30" spans="1:9" x14ac:dyDescent="0.3">
      <c r="A30" s="2">
        <v>44187</v>
      </c>
      <c r="B30" t="s">
        <v>17</v>
      </c>
      <c r="C30" t="s">
        <v>9</v>
      </c>
      <c r="D30" t="s">
        <v>19</v>
      </c>
      <c r="E30" s="3">
        <v>120</v>
      </c>
      <c r="F30" s="4">
        <f t="shared" si="0"/>
        <v>1000</v>
      </c>
      <c r="G30" s="4">
        <f t="shared" si="1"/>
        <v>700</v>
      </c>
      <c r="H30" s="4">
        <f t="shared" si="3"/>
        <v>120000</v>
      </c>
      <c r="I30" s="6">
        <f t="shared" si="2"/>
        <v>36000</v>
      </c>
    </row>
    <row r="31" spans="1:9" x14ac:dyDescent="0.3">
      <c r="A31" s="2">
        <v>44405</v>
      </c>
      <c r="B31" t="s">
        <v>11</v>
      </c>
      <c r="C31" t="s">
        <v>15</v>
      </c>
      <c r="D31" t="s">
        <v>13</v>
      </c>
      <c r="E31" s="3">
        <v>66</v>
      </c>
      <c r="F31" s="4">
        <f t="shared" si="0"/>
        <v>3500</v>
      </c>
      <c r="G31" s="4">
        <f t="shared" si="1"/>
        <v>2500</v>
      </c>
      <c r="H31" s="4">
        <f t="shared" si="3"/>
        <v>231000</v>
      </c>
      <c r="I31" s="6">
        <f t="shared" si="2"/>
        <v>66000</v>
      </c>
    </row>
    <row r="32" spans="1:9" x14ac:dyDescent="0.3">
      <c r="A32" s="2">
        <v>44103</v>
      </c>
      <c r="B32" t="s">
        <v>25</v>
      </c>
      <c r="C32" t="s">
        <v>18</v>
      </c>
      <c r="D32" t="s">
        <v>16</v>
      </c>
      <c r="E32" s="3">
        <v>88</v>
      </c>
      <c r="F32" s="4">
        <f t="shared" si="0"/>
        <v>1200</v>
      </c>
      <c r="G32" s="4">
        <f t="shared" si="1"/>
        <v>800</v>
      </c>
      <c r="H32" s="4">
        <f t="shared" si="3"/>
        <v>105600</v>
      </c>
      <c r="I32" s="6">
        <f t="shared" si="2"/>
        <v>35200</v>
      </c>
    </row>
    <row r="33" spans="1:9" x14ac:dyDescent="0.3">
      <c r="A33" s="2">
        <v>44126</v>
      </c>
      <c r="B33" t="s">
        <v>17</v>
      </c>
      <c r="C33" t="s">
        <v>12</v>
      </c>
      <c r="D33" t="s">
        <v>28</v>
      </c>
      <c r="E33" s="3">
        <v>127</v>
      </c>
      <c r="F33" s="4">
        <f t="shared" si="0"/>
        <v>10000</v>
      </c>
      <c r="G33" s="4">
        <f t="shared" si="1"/>
        <v>7000</v>
      </c>
      <c r="H33" s="4">
        <f t="shared" si="3"/>
        <v>1270000</v>
      </c>
      <c r="I33" s="6">
        <f t="shared" si="2"/>
        <v>381000</v>
      </c>
    </row>
    <row r="34" spans="1:9" x14ac:dyDescent="0.3">
      <c r="A34" s="2">
        <v>43970</v>
      </c>
      <c r="B34" t="s">
        <v>20</v>
      </c>
      <c r="C34" t="s">
        <v>9</v>
      </c>
      <c r="D34" t="s">
        <v>21</v>
      </c>
      <c r="E34" s="3">
        <v>67</v>
      </c>
      <c r="F34" s="4">
        <f t="shared" si="0"/>
        <v>4000</v>
      </c>
      <c r="G34" s="4">
        <f t="shared" si="1"/>
        <v>3000</v>
      </c>
      <c r="H34" s="4">
        <f t="shared" si="3"/>
        <v>268000</v>
      </c>
      <c r="I34" s="6">
        <f t="shared" si="2"/>
        <v>67000</v>
      </c>
    </row>
    <row r="35" spans="1:9" x14ac:dyDescent="0.3">
      <c r="A35" s="2">
        <v>44536</v>
      </c>
      <c r="B35" t="s">
        <v>11</v>
      </c>
      <c r="C35" t="s">
        <v>12</v>
      </c>
      <c r="D35" t="s">
        <v>16</v>
      </c>
      <c r="E35" s="3">
        <v>67</v>
      </c>
      <c r="F35" s="4">
        <f t="shared" si="0"/>
        <v>1200</v>
      </c>
      <c r="G35" s="4">
        <f t="shared" si="1"/>
        <v>800</v>
      </c>
      <c r="H35" s="4">
        <f t="shared" si="3"/>
        <v>80400</v>
      </c>
      <c r="I35" s="6">
        <f t="shared" si="2"/>
        <v>26800</v>
      </c>
    </row>
    <row r="36" spans="1:9" x14ac:dyDescent="0.3">
      <c r="A36" s="2">
        <v>44069</v>
      </c>
      <c r="B36" t="s">
        <v>27</v>
      </c>
      <c r="C36" t="s">
        <v>15</v>
      </c>
      <c r="D36" t="s">
        <v>19</v>
      </c>
      <c r="E36" s="3">
        <v>149</v>
      </c>
      <c r="F36" s="4">
        <f t="shared" si="0"/>
        <v>1000</v>
      </c>
      <c r="G36" s="4">
        <f t="shared" si="1"/>
        <v>700</v>
      </c>
      <c r="H36" s="4">
        <f t="shared" si="3"/>
        <v>149000</v>
      </c>
      <c r="I36" s="6">
        <f t="shared" si="2"/>
        <v>44700</v>
      </c>
    </row>
    <row r="37" spans="1:9" x14ac:dyDescent="0.3">
      <c r="A37" s="2">
        <v>44378</v>
      </c>
      <c r="B37" t="s">
        <v>20</v>
      </c>
      <c r="C37" t="s">
        <v>18</v>
      </c>
      <c r="D37" t="s">
        <v>26</v>
      </c>
      <c r="E37" s="3">
        <v>104</v>
      </c>
      <c r="F37" s="4">
        <f t="shared" si="0"/>
        <v>600</v>
      </c>
      <c r="G37" s="4">
        <f t="shared" si="1"/>
        <v>400</v>
      </c>
      <c r="H37" s="4">
        <f t="shared" si="3"/>
        <v>62400</v>
      </c>
      <c r="I37" s="6">
        <f t="shared" si="2"/>
        <v>20800</v>
      </c>
    </row>
    <row r="38" spans="1:9" x14ac:dyDescent="0.3">
      <c r="A38" s="2">
        <v>44404</v>
      </c>
      <c r="B38" t="s">
        <v>24</v>
      </c>
      <c r="C38" t="s">
        <v>9</v>
      </c>
      <c r="D38" t="s">
        <v>26</v>
      </c>
      <c r="E38" s="3">
        <v>57</v>
      </c>
      <c r="F38" s="4">
        <f t="shared" si="0"/>
        <v>600</v>
      </c>
      <c r="G38" s="4">
        <f t="shared" si="1"/>
        <v>400</v>
      </c>
      <c r="H38" s="4">
        <f t="shared" si="3"/>
        <v>34200</v>
      </c>
      <c r="I38" s="6">
        <f t="shared" si="2"/>
        <v>11400</v>
      </c>
    </row>
    <row r="39" spans="1:9" x14ac:dyDescent="0.3">
      <c r="A39" s="2">
        <v>44109</v>
      </c>
      <c r="B39" t="s">
        <v>14</v>
      </c>
      <c r="C39" t="s">
        <v>12</v>
      </c>
      <c r="D39" t="s">
        <v>26</v>
      </c>
      <c r="E39" s="3">
        <v>90</v>
      </c>
      <c r="F39" s="4">
        <f t="shared" si="0"/>
        <v>600</v>
      </c>
      <c r="G39" s="4">
        <f t="shared" si="1"/>
        <v>400</v>
      </c>
      <c r="H39" s="4">
        <f t="shared" si="3"/>
        <v>54000</v>
      </c>
      <c r="I39" s="6">
        <f t="shared" si="2"/>
        <v>18000</v>
      </c>
    </row>
    <row r="40" spans="1:9" x14ac:dyDescent="0.3">
      <c r="A40" s="2">
        <v>44076</v>
      </c>
      <c r="B40" t="s">
        <v>22</v>
      </c>
      <c r="C40" t="s">
        <v>15</v>
      </c>
      <c r="D40" t="s">
        <v>26</v>
      </c>
      <c r="E40" s="3">
        <v>67</v>
      </c>
      <c r="F40" s="4">
        <f t="shared" si="0"/>
        <v>600</v>
      </c>
      <c r="G40" s="4">
        <f t="shared" si="1"/>
        <v>400</v>
      </c>
      <c r="H40" s="4">
        <f t="shared" si="3"/>
        <v>40200</v>
      </c>
      <c r="I40" s="6">
        <f t="shared" si="2"/>
        <v>13400</v>
      </c>
    </row>
    <row r="41" spans="1:9" x14ac:dyDescent="0.3">
      <c r="A41" s="2">
        <v>44441</v>
      </c>
      <c r="B41" t="s">
        <v>8</v>
      </c>
      <c r="C41" t="s">
        <v>18</v>
      </c>
      <c r="D41" t="s">
        <v>21</v>
      </c>
      <c r="E41" s="3">
        <v>127</v>
      </c>
      <c r="F41" s="4">
        <f t="shared" si="0"/>
        <v>4000</v>
      </c>
      <c r="G41" s="4">
        <f t="shared" si="1"/>
        <v>3000</v>
      </c>
      <c r="H41" s="4">
        <f t="shared" si="3"/>
        <v>508000</v>
      </c>
      <c r="I41" s="6">
        <f t="shared" si="2"/>
        <v>127000</v>
      </c>
    </row>
    <row r="42" spans="1:9" x14ac:dyDescent="0.3">
      <c r="A42" s="2">
        <v>44299</v>
      </c>
      <c r="B42" t="s">
        <v>22</v>
      </c>
      <c r="C42" t="s">
        <v>9</v>
      </c>
      <c r="D42" t="s">
        <v>19</v>
      </c>
      <c r="E42" s="3">
        <v>108</v>
      </c>
      <c r="F42" s="4">
        <f t="shared" si="0"/>
        <v>1000</v>
      </c>
      <c r="G42" s="4">
        <f t="shared" si="1"/>
        <v>700</v>
      </c>
      <c r="H42" s="4">
        <f t="shared" si="3"/>
        <v>108000</v>
      </c>
      <c r="I42" s="6">
        <f t="shared" si="2"/>
        <v>32400</v>
      </c>
    </row>
    <row r="43" spans="1:9" x14ac:dyDescent="0.3">
      <c r="A43" s="2">
        <v>44322</v>
      </c>
      <c r="B43" t="s">
        <v>14</v>
      </c>
      <c r="C43" t="s">
        <v>12</v>
      </c>
      <c r="D43" t="s">
        <v>13</v>
      </c>
      <c r="E43" s="3">
        <v>66</v>
      </c>
      <c r="F43" s="4">
        <f t="shared" si="0"/>
        <v>3500</v>
      </c>
      <c r="G43" s="4">
        <f t="shared" si="1"/>
        <v>2500</v>
      </c>
      <c r="H43" s="4">
        <f t="shared" si="3"/>
        <v>231000</v>
      </c>
      <c r="I43" s="6">
        <f t="shared" si="2"/>
        <v>66000</v>
      </c>
    </row>
    <row r="44" spans="1:9" x14ac:dyDescent="0.3">
      <c r="A44" s="2">
        <v>44211</v>
      </c>
      <c r="B44" t="s">
        <v>8</v>
      </c>
      <c r="C44" t="s">
        <v>18</v>
      </c>
      <c r="D44" t="s">
        <v>10</v>
      </c>
      <c r="E44" s="3">
        <v>78</v>
      </c>
      <c r="F44" s="4">
        <f t="shared" si="0"/>
        <v>6000</v>
      </c>
      <c r="G44" s="4">
        <f t="shared" si="1"/>
        <v>4000</v>
      </c>
      <c r="H44" s="4">
        <f t="shared" si="3"/>
        <v>468000</v>
      </c>
      <c r="I44" s="6">
        <f t="shared" si="2"/>
        <v>156000</v>
      </c>
    </row>
    <row r="45" spans="1:9" x14ac:dyDescent="0.3">
      <c r="A45" s="2">
        <v>44070</v>
      </c>
      <c r="B45" t="s">
        <v>24</v>
      </c>
      <c r="C45" t="s">
        <v>15</v>
      </c>
      <c r="D45" t="s">
        <v>19</v>
      </c>
      <c r="E45" s="3">
        <v>69</v>
      </c>
      <c r="F45" s="4">
        <f t="shared" si="0"/>
        <v>1000</v>
      </c>
      <c r="G45" s="4">
        <f t="shared" si="1"/>
        <v>700</v>
      </c>
      <c r="H45" s="4">
        <f t="shared" si="3"/>
        <v>69000</v>
      </c>
      <c r="I45" s="6">
        <f t="shared" si="2"/>
        <v>20700</v>
      </c>
    </row>
    <row r="46" spans="1:9" x14ac:dyDescent="0.3">
      <c r="A46" s="2">
        <v>44232</v>
      </c>
      <c r="B46" t="s">
        <v>20</v>
      </c>
      <c r="C46" t="s">
        <v>9</v>
      </c>
      <c r="D46" t="s">
        <v>16</v>
      </c>
      <c r="E46" s="3">
        <v>59</v>
      </c>
      <c r="F46" s="4">
        <f t="shared" si="0"/>
        <v>1200</v>
      </c>
      <c r="G46" s="4">
        <f t="shared" si="1"/>
        <v>800</v>
      </c>
      <c r="H46" s="4">
        <f t="shared" si="3"/>
        <v>70800</v>
      </c>
      <c r="I46" s="6">
        <f t="shared" si="2"/>
        <v>23600</v>
      </c>
    </row>
    <row r="47" spans="1:9" x14ac:dyDescent="0.3">
      <c r="A47" s="2">
        <v>44517</v>
      </c>
      <c r="B47" t="s">
        <v>27</v>
      </c>
      <c r="C47" t="s">
        <v>15</v>
      </c>
      <c r="D47" t="s">
        <v>26</v>
      </c>
      <c r="E47" s="3">
        <v>109</v>
      </c>
      <c r="F47" s="4">
        <f t="shared" si="0"/>
        <v>600</v>
      </c>
      <c r="G47" s="4">
        <f t="shared" si="1"/>
        <v>400</v>
      </c>
      <c r="H47" s="4">
        <f t="shared" si="3"/>
        <v>65400</v>
      </c>
      <c r="I47" s="6">
        <f t="shared" si="2"/>
        <v>21800</v>
      </c>
    </row>
    <row r="48" spans="1:9" x14ac:dyDescent="0.3">
      <c r="A48" s="2">
        <v>44193</v>
      </c>
      <c r="B48" t="s">
        <v>25</v>
      </c>
      <c r="C48" t="s">
        <v>12</v>
      </c>
      <c r="D48" t="s">
        <v>21</v>
      </c>
      <c r="E48" s="3">
        <v>61</v>
      </c>
      <c r="F48" s="4">
        <f t="shared" si="0"/>
        <v>4000</v>
      </c>
      <c r="G48" s="4">
        <f t="shared" si="1"/>
        <v>3000</v>
      </c>
      <c r="H48" s="4">
        <f t="shared" si="3"/>
        <v>244000</v>
      </c>
      <c r="I48" s="6">
        <f t="shared" si="2"/>
        <v>61000</v>
      </c>
    </row>
    <row r="49" spans="1:9" x14ac:dyDescent="0.3">
      <c r="A49" s="2">
        <v>44496</v>
      </c>
      <c r="B49" t="s">
        <v>20</v>
      </c>
      <c r="C49" t="s">
        <v>18</v>
      </c>
      <c r="D49" t="s">
        <v>26</v>
      </c>
      <c r="E49" s="3">
        <v>130</v>
      </c>
      <c r="F49" s="4">
        <f t="shared" si="0"/>
        <v>600</v>
      </c>
      <c r="G49" s="4">
        <f t="shared" si="1"/>
        <v>400</v>
      </c>
      <c r="H49" s="4">
        <f t="shared" si="3"/>
        <v>78000</v>
      </c>
      <c r="I49" s="6">
        <f t="shared" si="2"/>
        <v>26000</v>
      </c>
    </row>
    <row r="50" spans="1:9" x14ac:dyDescent="0.3">
      <c r="A50" s="2">
        <v>44502</v>
      </c>
      <c r="B50" t="s">
        <v>17</v>
      </c>
      <c r="C50" t="s">
        <v>15</v>
      </c>
      <c r="D50" t="s">
        <v>13</v>
      </c>
      <c r="E50" s="3">
        <v>60</v>
      </c>
      <c r="F50" s="4">
        <f t="shared" si="0"/>
        <v>3500</v>
      </c>
      <c r="G50" s="4">
        <f t="shared" si="1"/>
        <v>2500</v>
      </c>
      <c r="H50" s="4">
        <f t="shared" si="3"/>
        <v>210000</v>
      </c>
      <c r="I50" s="6">
        <f t="shared" si="2"/>
        <v>60000</v>
      </c>
    </row>
    <row r="51" spans="1:9" x14ac:dyDescent="0.3">
      <c r="A51" s="2">
        <v>43958</v>
      </c>
      <c r="B51" t="s">
        <v>11</v>
      </c>
      <c r="C51" t="s">
        <v>12</v>
      </c>
      <c r="D51" t="s">
        <v>10</v>
      </c>
      <c r="E51" s="3">
        <v>73</v>
      </c>
      <c r="F51" s="4">
        <f t="shared" si="0"/>
        <v>6000</v>
      </c>
      <c r="G51" s="4">
        <f t="shared" si="1"/>
        <v>4000</v>
      </c>
      <c r="H51" s="4">
        <f t="shared" si="3"/>
        <v>438000</v>
      </c>
      <c r="I51" s="6">
        <f t="shared" si="2"/>
        <v>146000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8BEC7-6996-425D-9BB0-8B386DBD6DFB}">
  <dimension ref="A3:M14"/>
  <sheetViews>
    <sheetView zoomScale="55" zoomScaleNormal="55" workbookViewId="0">
      <selection activeCell="K39" sqref="K39"/>
    </sheetView>
  </sheetViews>
  <sheetFormatPr defaultRowHeight="14.4" x14ac:dyDescent="0.3"/>
  <cols>
    <col min="1" max="1" width="18.44140625" bestFit="1" customWidth="1"/>
    <col min="2" max="2" width="22.88671875" bestFit="1" customWidth="1"/>
    <col min="4" max="4" width="18.44140625" bestFit="1" customWidth="1"/>
    <col min="5" max="5" width="22.88671875" bestFit="1" customWidth="1"/>
    <col min="8" max="8" width="18.44140625" bestFit="1" customWidth="1"/>
    <col min="9" max="9" width="22.88671875" bestFit="1" customWidth="1"/>
    <col min="12" max="12" width="18.44140625" bestFit="1" customWidth="1"/>
    <col min="13" max="13" width="21.77734375" customWidth="1"/>
  </cols>
  <sheetData>
    <row r="3" spans="1:13" x14ac:dyDescent="0.3">
      <c r="A3" s="7" t="s">
        <v>34</v>
      </c>
      <c r="B3" t="s">
        <v>35</v>
      </c>
      <c r="D3" s="7" t="s">
        <v>34</v>
      </c>
      <c r="E3" t="s">
        <v>35</v>
      </c>
      <c r="H3" s="7" t="s">
        <v>34</v>
      </c>
      <c r="I3" t="s">
        <v>35</v>
      </c>
      <c r="L3" s="7" t="s">
        <v>34</v>
      </c>
      <c r="M3" t="s">
        <v>36</v>
      </c>
    </row>
    <row r="4" spans="1:13" x14ac:dyDescent="0.3">
      <c r="A4" s="3" t="s">
        <v>12</v>
      </c>
      <c r="B4" s="10">
        <v>3534400</v>
      </c>
      <c r="D4" s="3" t="s">
        <v>16</v>
      </c>
      <c r="E4" s="9">
        <v>547200</v>
      </c>
      <c r="H4" s="3" t="s">
        <v>8</v>
      </c>
      <c r="I4" s="9">
        <v>1591600</v>
      </c>
      <c r="L4" s="3" t="s">
        <v>16</v>
      </c>
      <c r="M4" s="8">
        <v>456</v>
      </c>
    </row>
    <row r="5" spans="1:13" x14ac:dyDescent="0.3">
      <c r="A5" s="3" t="s">
        <v>18</v>
      </c>
      <c r="B5" s="9">
        <v>2661400</v>
      </c>
      <c r="D5" s="3" t="s">
        <v>13</v>
      </c>
      <c r="E5" s="9">
        <v>2222500</v>
      </c>
      <c r="H5" s="3" t="s">
        <v>25</v>
      </c>
      <c r="I5" s="9">
        <v>677600</v>
      </c>
      <c r="L5" s="3" t="s">
        <v>13</v>
      </c>
      <c r="M5" s="8">
        <v>635</v>
      </c>
    </row>
    <row r="6" spans="1:13" x14ac:dyDescent="0.3">
      <c r="A6" s="3" t="s">
        <v>15</v>
      </c>
      <c r="B6" s="9">
        <v>2870600</v>
      </c>
      <c r="D6" s="3" t="s">
        <v>26</v>
      </c>
      <c r="E6" s="9">
        <v>706800</v>
      </c>
      <c r="H6" s="3" t="s">
        <v>17</v>
      </c>
      <c r="I6" s="9">
        <v>1957000</v>
      </c>
      <c r="L6" s="3" t="s">
        <v>26</v>
      </c>
      <c r="M6" s="8">
        <v>1178</v>
      </c>
    </row>
    <row r="7" spans="1:13" x14ac:dyDescent="0.3">
      <c r="A7" s="3" t="s">
        <v>9</v>
      </c>
      <c r="B7" s="9">
        <v>3878100</v>
      </c>
      <c r="D7" s="3" t="s">
        <v>19</v>
      </c>
      <c r="E7" s="9">
        <v>898000</v>
      </c>
      <c r="H7" s="3" t="s">
        <v>22</v>
      </c>
      <c r="I7" s="9">
        <v>1661400</v>
      </c>
      <c r="L7" s="3" t="s">
        <v>19</v>
      </c>
      <c r="M7" s="8">
        <v>898</v>
      </c>
    </row>
    <row r="8" spans="1:13" x14ac:dyDescent="0.3">
      <c r="A8" s="3" t="s">
        <v>30</v>
      </c>
      <c r="B8" s="9">
        <v>12944500</v>
      </c>
      <c r="D8" s="3" t="s">
        <v>28</v>
      </c>
      <c r="E8" s="9">
        <v>2350000</v>
      </c>
      <c r="H8" s="3" t="s">
        <v>24</v>
      </c>
      <c r="I8" s="9">
        <v>1741200</v>
      </c>
      <c r="L8" s="3" t="s">
        <v>28</v>
      </c>
      <c r="M8" s="8">
        <v>235</v>
      </c>
    </row>
    <row r="9" spans="1:13" x14ac:dyDescent="0.3">
      <c r="D9" s="3" t="s">
        <v>21</v>
      </c>
      <c r="E9" s="9">
        <v>3196000</v>
      </c>
      <c r="H9" s="3" t="s">
        <v>14</v>
      </c>
      <c r="I9" s="9">
        <v>1110000</v>
      </c>
      <c r="L9" s="3" t="s">
        <v>21</v>
      </c>
      <c r="M9" s="8">
        <v>799</v>
      </c>
    </row>
    <row r="10" spans="1:13" x14ac:dyDescent="0.3">
      <c r="D10" s="3" t="s">
        <v>10</v>
      </c>
      <c r="E10" s="9">
        <v>3024000</v>
      </c>
      <c r="H10" s="3" t="s">
        <v>11</v>
      </c>
      <c r="I10" s="9">
        <v>1777400</v>
      </c>
      <c r="L10" s="3" t="s">
        <v>10</v>
      </c>
      <c r="M10" s="8">
        <v>504</v>
      </c>
    </row>
    <row r="11" spans="1:13" x14ac:dyDescent="0.3">
      <c r="D11" s="3" t="s">
        <v>30</v>
      </c>
      <c r="E11" s="9">
        <v>12944500</v>
      </c>
      <c r="H11" s="3" t="s">
        <v>20</v>
      </c>
      <c r="I11" s="9">
        <v>1065400</v>
      </c>
      <c r="L11" s="3" t="s">
        <v>30</v>
      </c>
      <c r="M11" s="8">
        <v>4705</v>
      </c>
    </row>
    <row r="12" spans="1:13" x14ac:dyDescent="0.3">
      <c r="H12" s="3" t="s">
        <v>27</v>
      </c>
      <c r="I12" s="9">
        <v>784400</v>
      </c>
    </row>
    <row r="13" spans="1:13" x14ac:dyDescent="0.3">
      <c r="H13" s="3" t="s">
        <v>23</v>
      </c>
      <c r="I13" s="9">
        <v>578500</v>
      </c>
    </row>
    <row r="14" spans="1:13" x14ac:dyDescent="0.3">
      <c r="H14" s="3" t="s">
        <v>30</v>
      </c>
      <c r="I14" s="9">
        <v>12944500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SalesData</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Roger Samuel</cp:lastModifiedBy>
  <dcterms:created xsi:type="dcterms:W3CDTF">2024-05-30T14:35:02Z</dcterms:created>
  <dcterms:modified xsi:type="dcterms:W3CDTF">2025-04-20T23:12:39Z</dcterms:modified>
</cp:coreProperties>
</file>